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ardo\Downloads\"/>
    </mc:Choice>
  </mc:AlternateContent>
  <xr:revisionPtr revIDLastSave="0" documentId="13_ncr:1_{BD53C676-C7AC-4F90-B383-5B06E18F13A8}" xr6:coauthVersionLast="47" xr6:coauthVersionMax="47" xr10:uidLastSave="{00000000-0000-0000-0000-000000000000}"/>
  <bookViews>
    <workbookView xWindow="-120" yWindow="-120" windowWidth="29040" windowHeight="15720" xr2:uid="{7481359D-2BD7-4B50-91FB-69859FDE6FF8}"/>
  </bookViews>
  <sheets>
    <sheet name="Flujo de caja conservador " sheetId="7" r:id="rId1"/>
    <sheet name="FLUJO CAJA PROBABLE" sheetId="1" r:id="rId2"/>
    <sheet name="FLUJO CAJA Optimista" sheetId="6" r:id="rId3"/>
    <sheet name="Credito de consumo banco chile" sheetId="8" r:id="rId4"/>
    <sheet name="mantenimiento preventivo" sheetId="5" r:id="rId5"/>
    <sheet name="GASTO INTERNET" sheetId="3" r:id="rId6"/>
    <sheet name="GASTO DE LUZ" sheetId="2" r:id="rId7"/>
    <sheet name="Servicio de Hosting Cloud (Hetz" sheetId="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" i="7" l="1"/>
  <c r="H9" i="7"/>
  <c r="D49" i="7"/>
  <c r="B42" i="7"/>
  <c r="B43" i="7" s="1"/>
  <c r="B42" i="1"/>
  <c r="B43" i="1" s="1"/>
  <c r="G5" i="1" s="1"/>
  <c r="B41" i="6"/>
  <c r="B42" i="6" s="1"/>
  <c r="B3" i="8"/>
  <c r="B2" i="8"/>
  <c r="C13" i="6"/>
  <c r="D48" i="1"/>
  <c r="D49" i="1"/>
  <c r="D48" i="6"/>
  <c r="C13" i="7"/>
  <c r="C13" i="1"/>
  <c r="C5" i="7"/>
  <c r="C4" i="7"/>
  <c r="D48" i="7"/>
  <c r="D47" i="7"/>
  <c r="E32" i="7"/>
  <c r="D32" i="7"/>
  <c r="C32" i="7"/>
  <c r="E31" i="7"/>
  <c r="D31" i="7"/>
  <c r="E30" i="7"/>
  <c r="D30" i="7"/>
  <c r="E19" i="7"/>
  <c r="D19" i="7"/>
  <c r="C19" i="7"/>
  <c r="E18" i="7"/>
  <c r="D18" i="7"/>
  <c r="C18" i="7"/>
  <c r="E17" i="7"/>
  <c r="D17" i="7"/>
  <c r="C17" i="7"/>
  <c r="E11" i="7"/>
  <c r="D11" i="7"/>
  <c r="E10" i="7"/>
  <c r="D10" i="7"/>
  <c r="E9" i="7"/>
  <c r="D9" i="7"/>
  <c r="E8" i="7"/>
  <c r="D8" i="7"/>
  <c r="D47" i="6"/>
  <c r="C5" i="6"/>
  <c r="C4" i="6"/>
  <c r="D46" i="6"/>
  <c r="E31" i="6"/>
  <c r="D31" i="6"/>
  <c r="C31" i="6"/>
  <c r="E30" i="6"/>
  <c r="D30" i="6"/>
  <c r="E29" i="6"/>
  <c r="D29" i="6"/>
  <c r="E19" i="6"/>
  <c r="D19" i="6"/>
  <c r="C19" i="6"/>
  <c r="E18" i="6"/>
  <c r="D18" i="6"/>
  <c r="C18" i="6"/>
  <c r="E17" i="6"/>
  <c r="D17" i="6"/>
  <c r="C17" i="6"/>
  <c r="E12" i="6"/>
  <c r="E11" i="6"/>
  <c r="D11" i="6"/>
  <c r="E10" i="6"/>
  <c r="D10" i="6"/>
  <c r="E9" i="6"/>
  <c r="D9" i="6"/>
  <c r="E8" i="6"/>
  <c r="D8" i="6"/>
  <c r="E5" i="6"/>
  <c r="D5" i="6"/>
  <c r="D12" i="6"/>
  <c r="D47" i="1"/>
  <c r="E32" i="1"/>
  <c r="E31" i="1"/>
  <c r="D31" i="1"/>
  <c r="E30" i="1"/>
  <c r="E19" i="1"/>
  <c r="E18" i="1"/>
  <c r="E17" i="1"/>
  <c r="D32" i="1"/>
  <c r="C32" i="1"/>
  <c r="E11" i="1"/>
  <c r="E10" i="1"/>
  <c r="E9" i="1"/>
  <c r="E8" i="1"/>
  <c r="D30" i="1"/>
  <c r="D19" i="1"/>
  <c r="D18" i="1"/>
  <c r="D17" i="1"/>
  <c r="D11" i="1"/>
  <c r="D10" i="1"/>
  <c r="D9" i="1"/>
  <c r="D8" i="1"/>
  <c r="C19" i="1"/>
  <c r="C18" i="1"/>
  <c r="C17" i="1"/>
  <c r="C3" i="5"/>
  <c r="C5" i="1"/>
  <c r="D5" i="1" s="1"/>
  <c r="C4" i="1"/>
  <c r="C3" i="4"/>
  <c r="B3" i="3"/>
  <c r="D12" i="2"/>
  <c r="D11" i="2"/>
  <c r="D10" i="2"/>
  <c r="D9" i="2"/>
  <c r="D8" i="2"/>
  <c r="D7" i="2"/>
  <c r="D6" i="2"/>
  <c r="D5" i="2"/>
  <c r="D4" i="2"/>
  <c r="D3" i="2"/>
  <c r="E5" i="7" l="1"/>
  <c r="D5" i="7"/>
  <c r="E12" i="7"/>
  <c r="E4" i="1"/>
  <c r="E5" i="1"/>
  <c r="D4" i="1"/>
  <c r="E21" i="1" s="1"/>
  <c r="D4" i="7"/>
  <c r="E4" i="7"/>
  <c r="C12" i="7"/>
  <c r="D12" i="7"/>
  <c r="D14" i="7" s="1"/>
  <c r="E14" i="6"/>
  <c r="D14" i="6"/>
  <c r="D4" i="6"/>
  <c r="E4" i="6"/>
  <c r="C12" i="6"/>
  <c r="E12" i="1"/>
  <c r="C12" i="1"/>
  <c r="C21" i="1" s="1"/>
  <c r="D12" i="1"/>
  <c r="D21" i="1" l="1"/>
  <c r="E14" i="1"/>
  <c r="C14" i="7"/>
  <c r="C21" i="7"/>
  <c r="D21" i="7"/>
  <c r="E21" i="7"/>
  <c r="E14" i="7"/>
  <c r="C21" i="6"/>
  <c r="C14" i="6"/>
  <c r="D21" i="6"/>
  <c r="E21" i="6"/>
  <c r="C14" i="1"/>
  <c r="D14" i="1"/>
  <c r="C22" i="1"/>
  <c r="E23" i="1" s="1"/>
  <c r="D22" i="1" l="1"/>
  <c r="E22" i="1"/>
  <c r="C22" i="7"/>
  <c r="E23" i="7" s="1"/>
  <c r="D22" i="7"/>
  <c r="E22" i="7"/>
  <c r="E22" i="6"/>
  <c r="D22" i="6"/>
  <c r="C22" i="6"/>
  <c r="E23" i="6" s="1"/>
  <c r="C23" i="1"/>
  <c r="C43" i="1" s="1"/>
  <c r="D23" i="1"/>
  <c r="H11" i="1" l="1"/>
  <c r="H10" i="1"/>
  <c r="H12" i="1"/>
  <c r="H9" i="1"/>
  <c r="E43" i="1"/>
  <c r="D43" i="1"/>
  <c r="D23" i="7"/>
  <c r="C23" i="7"/>
  <c r="C43" i="7" s="1"/>
  <c r="C23" i="6"/>
  <c r="C42" i="6" s="1"/>
  <c r="D23" i="6"/>
  <c r="G2" i="1" l="1"/>
  <c r="H12" i="6"/>
  <c r="H13" i="6"/>
  <c r="H10" i="6"/>
  <c r="H11" i="6"/>
  <c r="G7" i="6"/>
  <c r="H11" i="7"/>
  <c r="H12" i="7"/>
  <c r="H10" i="7"/>
  <c r="E43" i="7"/>
  <c r="D43" i="7"/>
  <c r="E42" i="6"/>
  <c r="G4" i="6" s="1"/>
  <c r="D42" i="6"/>
  <c r="G3" i="7" l="1"/>
</calcChain>
</file>

<file path=xl/sharedStrings.xml><?xml version="1.0" encoding="utf-8"?>
<sst xmlns="http://schemas.openxmlformats.org/spreadsheetml/2006/main" count="186" uniqueCount="78">
  <si>
    <t>Concepto</t>
  </si>
  <si>
    <t>Año 0</t>
  </si>
  <si>
    <t>Año 1</t>
  </si>
  <si>
    <t>Año 2</t>
  </si>
  <si>
    <t>Flujo de caja (SmartPark)</t>
  </si>
  <si>
    <t>Total Ingresos</t>
  </si>
  <si>
    <t xml:space="preserve">Ingresos </t>
  </si>
  <si>
    <t>Servicio de Hosting Cloud (Hetzener VPS)</t>
  </si>
  <si>
    <t>Mantenimiento Preventivo (Hardware y Software)</t>
  </si>
  <si>
    <t>Total Egresos</t>
  </si>
  <si>
    <t>Gastos No Desembolsables</t>
  </si>
  <si>
    <t>Hardware: Notebook de Monitoreo (HP EliteBook)</t>
  </si>
  <si>
    <t>Hardware: Kit Inteligente LPR (Barreras, Radares, Camaras, Switch</t>
  </si>
  <si>
    <t>Obras civiles menores e instalación</t>
  </si>
  <si>
    <t>Desarrollo de Software PWA a medida (Activo Intangible)</t>
  </si>
  <si>
    <t>Capital de Trabajo Inicial</t>
  </si>
  <si>
    <t>Flujo De Caja Neto</t>
  </si>
  <si>
    <t>Utilidad Antes del Impuesto (UIA)</t>
  </si>
  <si>
    <t>Impuesto a la Renta (27%)</t>
  </si>
  <si>
    <t>Utilidad Despues de Impuestos (UDI)</t>
  </si>
  <si>
    <t>Gastos Financieros (Intereses Préstamo Bancario)</t>
  </si>
  <si>
    <t>Despreciación Kit Inteligente (6 años)</t>
  </si>
  <si>
    <t>Despreciación Notebook HP EliteBook (6 años)</t>
  </si>
  <si>
    <t xml:space="preserve">Inversion </t>
  </si>
  <si>
    <t>Supuestos del Proyecto (Evaluación de Riesgo)</t>
  </si>
  <si>
    <t>Tasa de Inflación Anual Esperada: 3%</t>
  </si>
  <si>
    <t>Escenario Probable: 300 Vehiculos por dia</t>
  </si>
  <si>
    <t>Escenario Conservador: 200 Vehiculos por dia</t>
  </si>
  <si>
    <t>Escenario Optimista: 350 Vehiculos por dia</t>
  </si>
  <si>
    <t>Ingreso Prestamo Bancario Bruto</t>
  </si>
  <si>
    <t>Impuesto de Timbres y Estampillas (ITE)</t>
  </si>
  <si>
    <t>Amortización de la Deuda</t>
  </si>
  <si>
    <t>Depreciación Kit Inteligente: Barreras, Radares, LPR, Switch (6 años)</t>
  </si>
  <si>
    <t>Depreciación Notebook  HP EliteBook (6 años)</t>
  </si>
  <si>
    <t>Desgloce de consumo electrico</t>
  </si>
  <si>
    <t>Componente</t>
  </si>
  <si>
    <t>Cantidad</t>
  </si>
  <si>
    <t>Barreras Vehiculares de Alto Tráfico</t>
  </si>
  <si>
    <t>Cámaras LPR</t>
  </si>
  <si>
    <t>Radares de masa</t>
  </si>
  <si>
    <t>Switch PoE de Red</t>
  </si>
  <si>
    <t>Notebook de Monitoreo (HP EliteBook)</t>
  </si>
  <si>
    <t>Consumo Unitario Watts</t>
  </si>
  <si>
    <t>Total de consumo maximo proyectado</t>
  </si>
  <si>
    <t xml:space="preserve">Servicio de Electricidad </t>
  </si>
  <si>
    <t>consumo total por mes</t>
  </si>
  <si>
    <t>consumo total por 13.5 horas</t>
  </si>
  <si>
    <t>Egresos Operacionales CLP (Gastos Fijos y Variables) (Ajustado 3% por inflación)</t>
  </si>
  <si>
    <t>Consumo total mensual Monetario CLP</t>
  </si>
  <si>
    <t>Consumo total anual CLP</t>
  </si>
  <si>
    <t xml:space="preserve">GASTOS DE INTERNET MUNDO </t>
  </si>
  <si>
    <t>Servico de Internet Fibra Optica (Mundo)</t>
  </si>
  <si>
    <t>Comisiones Pasarela de Pago (Webpay &amp; Flow - Variable)</t>
  </si>
  <si>
    <t>Servicio de Hosting Cloud (Hetzner VPS)</t>
  </si>
  <si>
    <t>Costo anual</t>
  </si>
  <si>
    <t>Costo mensual clp</t>
  </si>
  <si>
    <t>Costo anual clp</t>
  </si>
  <si>
    <t>Ingresos por cobro de estacionamiento (Ajustado 3% por inflación a partir del año 2 )</t>
  </si>
  <si>
    <t>mantenimiento preventivo</t>
  </si>
  <si>
    <t>Inversion TOTAL</t>
  </si>
  <si>
    <t>UPS 1500VA/900W Power Line Interactiva</t>
  </si>
  <si>
    <t>UPS 1500VA/900W Power Line Interactiva(6 años)</t>
  </si>
  <si>
    <t>Ajustes Por Depreciación</t>
  </si>
  <si>
    <t>Año 3</t>
  </si>
  <si>
    <t>Consumo Total Watts</t>
  </si>
  <si>
    <t>MENSUAL clp</t>
  </si>
  <si>
    <t>ANUAL clp</t>
  </si>
  <si>
    <t>cuota mensual</t>
  </si>
  <si>
    <t>total de prestamo pagado</t>
  </si>
  <si>
    <t>Credito de consumo banco chile  tasa de interes mensual  1,25</t>
  </si>
  <si>
    <t>VALOR ACTUAL NETO VAN</t>
  </si>
  <si>
    <t>Tasa de retorno de inversión TIR</t>
  </si>
  <si>
    <t>años</t>
  </si>
  <si>
    <t>meses</t>
  </si>
  <si>
    <t>semanas</t>
  </si>
  <si>
    <t>días</t>
  </si>
  <si>
    <t>Período de Recuperación  de la Inversión PRI</t>
  </si>
  <si>
    <t>Aporte de ahorros (Capital Propio)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</si>
</sst>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;[Red]&quot;$&quot;\-#,##0"/>
    <numFmt numFmtId="8" formatCode="&quot;$&quot;#,##0.00;[Red]&quot;$&quot;\-#,##0.00"/>
    <numFmt numFmtId="42" formatCode="_ &quot;$&quot;* #,##0_ ;_ &quot;$&quot;* \-#,##0_ ;_ &quot;$&quot;* &quot;-&quot;_ ;_ @_ "/>
    <numFmt numFmtId="41" formatCode="_ * #,##0_ ;_ * \-#,##0_ ;_ * &quot;-&quot;_ ;_ @_ "/>
    <numFmt numFmtId="164" formatCode="0.000"/>
    <numFmt numFmtId="165" formatCode="_ * #,##0.0_ ;_ * \-#,##0.0_ ;_ * &quot;-&quot;_ ;_ @_ 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3" tint="0.499984740745262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1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/>
    </xf>
    <xf numFmtId="42" fontId="0" fillId="0" borderId="0" xfId="0" applyNumberFormat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42" fontId="0" fillId="0" borderId="0" xfId="2" applyFont="1"/>
    <xf numFmtId="0" fontId="4" fillId="5" borderId="1" xfId="0" applyFont="1" applyFill="1" applyBorder="1"/>
    <xf numFmtId="0" fontId="0" fillId="5" borderId="1" xfId="0" applyFill="1" applyBorder="1"/>
    <xf numFmtId="42" fontId="0" fillId="6" borderId="1" xfId="2" applyFont="1" applyFill="1" applyBorder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7" borderId="0" xfId="0" applyFill="1"/>
    <xf numFmtId="0" fontId="0" fillId="8" borderId="1" xfId="0" applyFill="1" applyBorder="1"/>
    <xf numFmtId="42" fontId="0" fillId="8" borderId="1" xfId="2" applyFont="1" applyFill="1" applyBorder="1"/>
    <xf numFmtId="42" fontId="0" fillId="8" borderId="1" xfId="0" applyNumberFormat="1" applyFill="1" applyBorder="1"/>
    <xf numFmtId="0" fontId="4" fillId="8" borderId="1" xfId="0" applyFont="1" applyFill="1" applyBorder="1"/>
    <xf numFmtId="0" fontId="0" fillId="7" borderId="1" xfId="0" applyFill="1" applyBorder="1"/>
    <xf numFmtId="42" fontId="0" fillId="2" borderId="1" xfId="2" applyFont="1" applyFill="1" applyBorder="1"/>
    <xf numFmtId="42" fontId="0" fillId="4" borderId="1" xfId="2" applyFont="1" applyFill="1" applyBorder="1"/>
    <xf numFmtId="42" fontId="0" fillId="4" borderId="3" xfId="2" applyFont="1" applyFill="1" applyBorder="1"/>
    <xf numFmtId="0" fontId="6" fillId="7" borderId="1" xfId="0" applyFont="1" applyFill="1" applyBorder="1"/>
    <xf numFmtId="42" fontId="3" fillId="8" borderId="1" xfId="2" applyFont="1" applyFill="1" applyBorder="1"/>
    <xf numFmtId="42" fontId="3" fillId="8" borderId="1" xfId="0" applyNumberFormat="1" applyFont="1" applyFill="1" applyBorder="1"/>
    <xf numFmtId="42" fontId="8" fillId="8" borderId="1" xfId="2" applyFont="1" applyFill="1" applyBorder="1"/>
    <xf numFmtId="42" fontId="0" fillId="7" borderId="1" xfId="0" applyNumberFormat="1" applyFill="1" applyBorder="1"/>
    <xf numFmtId="3" fontId="3" fillId="8" borderId="1" xfId="0" applyNumberFormat="1" applyFont="1" applyFill="1" applyBorder="1"/>
    <xf numFmtId="0" fontId="7" fillId="7" borderId="1" xfId="0" applyFont="1" applyFill="1" applyBorder="1"/>
    <xf numFmtId="42" fontId="0" fillId="7" borderId="1" xfId="2" applyFont="1" applyFill="1" applyBorder="1"/>
    <xf numFmtId="42" fontId="0" fillId="0" borderId="0" xfId="2" applyFont="1" applyFill="1"/>
    <xf numFmtId="0" fontId="0" fillId="0" borderId="2" xfId="0" applyBorder="1"/>
    <xf numFmtId="6" fontId="3" fillId="8" borderId="1" xfId="0" applyNumberFormat="1" applyFont="1" applyFill="1" applyBorder="1"/>
    <xf numFmtId="42" fontId="3" fillId="7" borderId="0" xfId="2" applyFont="1" applyFill="1"/>
    <xf numFmtId="0" fontId="0" fillId="2" borderId="0" xfId="0" applyFill="1"/>
    <xf numFmtId="164" fontId="0" fillId="2" borderId="0" xfId="0" applyNumberFormat="1" applyFill="1"/>
    <xf numFmtId="0" fontId="0" fillId="2" borderId="0" xfId="0" applyFill="1" applyAlignment="1">
      <alignment horizontal="left"/>
    </xf>
    <xf numFmtId="165" fontId="0" fillId="2" borderId="0" xfId="1" applyNumberFormat="1" applyFont="1" applyFill="1"/>
    <xf numFmtId="42" fontId="0" fillId="2" borderId="0" xfId="0" applyNumberFormat="1" applyFill="1"/>
    <xf numFmtId="41" fontId="0" fillId="2" borderId="0" xfId="1" applyFont="1" applyFill="1"/>
    <xf numFmtId="9" fontId="0" fillId="5" borderId="0" xfId="0" applyNumberFormat="1" applyFill="1" applyAlignment="1">
      <alignment horizontal="center"/>
    </xf>
    <xf numFmtId="0" fontId="2" fillId="13" borderId="0" xfId="0" applyFont="1" applyFill="1" applyAlignment="1">
      <alignment horizontal="center" wrapText="1"/>
    </xf>
    <xf numFmtId="0" fontId="0" fillId="13" borderId="0" xfId="0" applyFill="1" applyAlignment="1">
      <alignment horizontal="center" wrapText="1"/>
    </xf>
    <xf numFmtId="0" fontId="6" fillId="7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center"/>
    </xf>
    <xf numFmtId="0" fontId="4" fillId="11" borderId="0" xfId="0" applyFont="1" applyFill="1" applyAlignment="1">
      <alignment horizontal="center"/>
    </xf>
    <xf numFmtId="8" fontId="0" fillId="10" borderId="0" xfId="0" applyNumberFormat="1" applyFill="1" applyAlignment="1">
      <alignment horizontal="center"/>
    </xf>
    <xf numFmtId="0" fontId="4" fillId="12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left"/>
    </xf>
    <xf numFmtId="0" fontId="0" fillId="4" borderId="3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42" fontId="0" fillId="5" borderId="3" xfId="2" applyFont="1" applyFill="1" applyBorder="1" applyAlignment="1">
      <alignment horizontal="center"/>
    </xf>
    <xf numFmtId="42" fontId="0" fillId="5" borderId="4" xfId="2" applyFont="1" applyFill="1" applyBorder="1" applyAlignment="1">
      <alignment horizontal="center"/>
    </xf>
    <xf numFmtId="42" fontId="0" fillId="5" borderId="3" xfId="0" applyNumberFormat="1" applyFill="1" applyBorder="1" applyAlignment="1">
      <alignment horizontal="center"/>
    </xf>
    <xf numFmtId="42" fontId="0" fillId="5" borderId="4" xfId="0" applyNumberFormat="1" applyFill="1" applyBorder="1" applyAlignment="1">
      <alignment horizontal="center"/>
    </xf>
  </cellXfs>
  <cellStyles count="3">
    <cellStyle name="Millares [0]" xfId="1" builtinId="6"/>
    <cellStyle name="Moneda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BEFC8-22A7-4CD2-81AA-32235F3CB32E}">
  <dimension ref="A1:K49"/>
  <sheetViews>
    <sheetView tabSelected="1" topLeftCell="A4" zoomScale="85" zoomScaleNormal="85" workbookViewId="0">
      <selection activeCell="H31" sqref="H31"/>
    </sheetView>
  </sheetViews>
  <sheetFormatPr baseColWidth="10" defaultRowHeight="15" x14ac:dyDescent="0.25"/>
  <cols>
    <col min="1" max="1" width="62.5703125" customWidth="1"/>
    <col min="2" max="2" width="25.140625" customWidth="1"/>
    <col min="3" max="3" width="31.140625" customWidth="1"/>
    <col min="4" max="4" width="24.5703125" customWidth="1"/>
    <col min="5" max="5" width="43.42578125" customWidth="1"/>
  </cols>
  <sheetData>
    <row r="1" spans="1:11" x14ac:dyDescent="0.25">
      <c r="A1" s="43" t="s">
        <v>4</v>
      </c>
      <c r="B1" s="43"/>
      <c r="C1" s="43"/>
      <c r="D1" s="43"/>
      <c r="E1" s="43"/>
    </row>
    <row r="2" spans="1:11" x14ac:dyDescent="0.25">
      <c r="A2" s="11" t="s">
        <v>0</v>
      </c>
      <c r="B2" s="10" t="s">
        <v>1</v>
      </c>
      <c r="C2" s="10" t="s">
        <v>2</v>
      </c>
      <c r="D2" s="10" t="s">
        <v>3</v>
      </c>
      <c r="E2" s="10" t="s">
        <v>63</v>
      </c>
      <c r="G2" s="44" t="s">
        <v>70</v>
      </c>
      <c r="H2" s="44"/>
      <c r="I2" s="44"/>
    </row>
    <row r="3" spans="1:11" x14ac:dyDescent="0.25">
      <c r="A3" s="42" t="s">
        <v>6</v>
      </c>
      <c r="B3" s="42"/>
      <c r="C3" s="42"/>
      <c r="D3" s="42"/>
      <c r="E3" s="17"/>
      <c r="G3" s="45">
        <f>NPV(0.12,C43:E43)+B43</f>
        <v>59497700.458875991</v>
      </c>
      <c r="H3" s="45"/>
      <c r="I3" s="45"/>
    </row>
    <row r="4" spans="1:11" x14ac:dyDescent="0.25">
      <c r="A4" s="13" t="s">
        <v>57</v>
      </c>
      <c r="B4" s="14">
        <v>0</v>
      </c>
      <c r="C4" s="14">
        <f>650*200*30*12</f>
        <v>46800000</v>
      </c>
      <c r="D4" s="15">
        <f>C4*1.03</f>
        <v>48204000</v>
      </c>
      <c r="E4" s="15">
        <f>C4*1.03*1.03</f>
        <v>49650120</v>
      </c>
    </row>
    <row r="5" spans="1:11" x14ac:dyDescent="0.25">
      <c r="A5" s="16" t="s">
        <v>5</v>
      </c>
      <c r="B5" s="14">
        <v>0</v>
      </c>
      <c r="C5" s="14">
        <f>650*200*30*12</f>
        <v>46800000</v>
      </c>
      <c r="D5" s="15">
        <f>C5*1.03</f>
        <v>48204000</v>
      </c>
      <c r="E5" s="15">
        <f>C5*1.03*1.03</f>
        <v>49650120</v>
      </c>
      <c r="G5" s="46" t="s">
        <v>71</v>
      </c>
      <c r="H5" s="46"/>
      <c r="I5" s="46"/>
    </row>
    <row r="6" spans="1:11" x14ac:dyDescent="0.25">
      <c r="B6" s="6"/>
      <c r="G6" s="39">
        <f>IRR(B43:E43)</f>
        <v>16742.334067163705</v>
      </c>
      <c r="H6" s="39"/>
      <c r="I6" s="39"/>
    </row>
    <row r="7" spans="1:11" x14ac:dyDescent="0.25">
      <c r="A7" s="21" t="s">
        <v>47</v>
      </c>
      <c r="B7" s="28"/>
      <c r="C7" s="17"/>
      <c r="D7" s="17"/>
      <c r="E7" s="17"/>
    </row>
    <row r="8" spans="1:11" x14ac:dyDescent="0.25">
      <c r="A8" s="13" t="s">
        <v>7</v>
      </c>
      <c r="B8" s="14">
        <v>0</v>
      </c>
      <c r="C8" s="22">
        <v>-300000</v>
      </c>
      <c r="D8" s="23">
        <f>C8*1.03</f>
        <v>-309000</v>
      </c>
      <c r="E8" s="23">
        <f>C8*1.03*1.03</f>
        <v>-318270</v>
      </c>
      <c r="G8" s="40" t="s">
        <v>76</v>
      </c>
      <c r="H8" s="41"/>
      <c r="I8" s="41"/>
      <c r="J8" s="41"/>
      <c r="K8" s="41"/>
    </row>
    <row r="9" spans="1:11" x14ac:dyDescent="0.25">
      <c r="A9" s="13" t="s">
        <v>51</v>
      </c>
      <c r="B9" s="14">
        <v>0</v>
      </c>
      <c r="C9" s="22">
        <v>-384000</v>
      </c>
      <c r="D9" s="23">
        <f>C9*1.03</f>
        <v>-395520</v>
      </c>
      <c r="E9" s="23">
        <f>C9*1.03*1.03</f>
        <v>-407385.60000000003</v>
      </c>
      <c r="G9" s="33" t="s">
        <v>72</v>
      </c>
      <c r="H9" s="34">
        <f>ABS(B43/C43)</f>
        <v>5.973026053353306E-5</v>
      </c>
      <c r="I9" s="33"/>
      <c r="J9" s="33"/>
      <c r="K9" s="33"/>
    </row>
    <row r="10" spans="1:11" x14ac:dyDescent="0.25">
      <c r="A10" s="13" t="s">
        <v>44</v>
      </c>
      <c r="B10" s="14">
        <v>0</v>
      </c>
      <c r="C10" s="22">
        <v>-294921</v>
      </c>
      <c r="D10" s="23">
        <f>C10*1.03</f>
        <v>-303768.63</v>
      </c>
      <c r="E10" s="23">
        <f>C10*1.03*1.03</f>
        <v>-312881.68890000001</v>
      </c>
      <c r="G10" s="35" t="s">
        <v>73</v>
      </c>
      <c r="H10" s="36">
        <f>ABS(B43/C43)*12</f>
        <v>7.1676312640239672E-4</v>
      </c>
      <c r="I10" s="33"/>
      <c r="J10" s="33"/>
      <c r="K10" s="33"/>
    </row>
    <row r="11" spans="1:11" x14ac:dyDescent="0.25">
      <c r="A11" s="13" t="s">
        <v>8</v>
      </c>
      <c r="B11" s="14">
        <v>0</v>
      </c>
      <c r="C11" s="22">
        <v>-720000</v>
      </c>
      <c r="D11" s="23">
        <f>C11*1.03</f>
        <v>-741600</v>
      </c>
      <c r="E11" s="23">
        <f>C11*1.03*1.03</f>
        <v>-763848</v>
      </c>
      <c r="G11" s="35" t="s">
        <v>74</v>
      </c>
      <c r="H11" s="36">
        <f>(ABS(B43/C43)*12)*4.3</f>
        <v>3.0820814435303058E-3</v>
      </c>
      <c r="I11" s="37"/>
      <c r="J11" s="33"/>
      <c r="K11" s="33"/>
    </row>
    <row r="12" spans="1:11" x14ac:dyDescent="0.25">
      <c r="A12" s="13" t="s">
        <v>52</v>
      </c>
      <c r="B12" s="14">
        <v>0</v>
      </c>
      <c r="C12" s="23">
        <f>C4*-0.028</f>
        <v>-1310400</v>
      </c>
      <c r="D12" s="23">
        <f>C4*-0.028*1.03</f>
        <v>-1349712</v>
      </c>
      <c r="E12" s="23">
        <f>C4*-0.028*1.03*1.03</f>
        <v>-1390203.36</v>
      </c>
      <c r="G12" s="35" t="s">
        <v>75</v>
      </c>
      <c r="H12" s="38">
        <f>ABS(B43/C43)*360</f>
        <v>2.1502893792071903E-2</v>
      </c>
      <c r="I12" s="37"/>
      <c r="J12" s="33"/>
      <c r="K12" s="33"/>
    </row>
    <row r="13" spans="1:11" x14ac:dyDescent="0.25">
      <c r="A13" s="13" t="s">
        <v>20</v>
      </c>
      <c r="B13" s="14">
        <v>0</v>
      </c>
      <c r="C13" s="31">
        <f>PMT(1.25%,12,7034553)*12</f>
        <v>-7619122.5825907309</v>
      </c>
      <c r="D13" s="24">
        <v>0</v>
      </c>
      <c r="E13" s="14">
        <v>0</v>
      </c>
    </row>
    <row r="14" spans="1:11" x14ac:dyDescent="0.25">
      <c r="A14" s="16" t="s">
        <v>9</v>
      </c>
      <c r="B14" s="14">
        <v>0</v>
      </c>
      <c r="C14" s="23">
        <f>SUM(C8,C9,C10,C11,C12,C13)</f>
        <v>-10628443.582590731</v>
      </c>
      <c r="D14" s="23">
        <f>SUM(D8,D9,D10,D11,D12)</f>
        <v>-3099600.63</v>
      </c>
      <c r="E14" s="23">
        <f>SUM(D8,D9,D10,D11,D12)*1.03</f>
        <v>-3192588.6488999999</v>
      </c>
    </row>
    <row r="15" spans="1:11" x14ac:dyDescent="0.25">
      <c r="B15" s="6"/>
    </row>
    <row r="16" spans="1:11" x14ac:dyDescent="0.25">
      <c r="A16" s="21" t="s">
        <v>10</v>
      </c>
      <c r="B16" s="28"/>
      <c r="C16" s="17"/>
      <c r="D16" s="17"/>
      <c r="E16" s="17"/>
    </row>
    <row r="17" spans="1:5" x14ac:dyDescent="0.25">
      <c r="A17" s="13" t="s">
        <v>32</v>
      </c>
      <c r="B17" s="14">
        <v>0</v>
      </c>
      <c r="C17" s="23">
        <f>B36/6</f>
        <v>-841666.66666666663</v>
      </c>
      <c r="D17" s="23">
        <f>B36/6*1.03</f>
        <v>-866916.66666666663</v>
      </c>
      <c r="E17" s="23">
        <f>B36/6*1.03*1.03</f>
        <v>-892924.16666666663</v>
      </c>
    </row>
    <row r="18" spans="1:5" x14ac:dyDescent="0.25">
      <c r="A18" s="13" t="s">
        <v>33</v>
      </c>
      <c r="B18" s="14">
        <v>0</v>
      </c>
      <c r="C18" s="23">
        <f>B38/6</f>
        <v>-42288.833333333336</v>
      </c>
      <c r="D18" s="23">
        <f>B38/6*1.03</f>
        <v>-43557.498333333337</v>
      </c>
      <c r="E18" s="23">
        <f>B38/6*1.03*1.03</f>
        <v>-44864.22328333334</v>
      </c>
    </row>
    <row r="19" spans="1:5" x14ac:dyDescent="0.25">
      <c r="A19" s="13" t="s">
        <v>61</v>
      </c>
      <c r="B19" s="14"/>
      <c r="C19" s="23">
        <f>B37/6</f>
        <v>-29165</v>
      </c>
      <c r="D19" s="23">
        <f>B37/6*1.03</f>
        <v>-30039.95</v>
      </c>
      <c r="E19" s="23">
        <f>B37/6*1.03*1.03</f>
        <v>-30941.148500000003</v>
      </c>
    </row>
    <row r="20" spans="1:5" x14ac:dyDescent="0.25">
      <c r="B20" s="6"/>
    </row>
    <row r="21" spans="1:5" x14ac:dyDescent="0.25">
      <c r="A21" s="21" t="s">
        <v>17</v>
      </c>
      <c r="B21" s="28"/>
      <c r="C21" s="25">
        <f>SUM(C4,C8,C9,C10,C11,C12,C13,C17,C18,C19)</f>
        <v>35258435.917409271</v>
      </c>
      <c r="D21" s="25">
        <f>SUM(D4,D8,D9,D10,D11,D12,D17,D18,D19)</f>
        <v>44163885.254999995</v>
      </c>
      <c r="E21" s="25">
        <f>SUM(D4,D8,D9,D10,D11,D12,D17,D18,D19)*1.03</f>
        <v>45488801.812649995</v>
      </c>
    </row>
    <row r="22" spans="1:5" x14ac:dyDescent="0.25">
      <c r="A22" s="13" t="s">
        <v>18</v>
      </c>
      <c r="B22" s="14">
        <v>0</v>
      </c>
      <c r="C22" s="22">
        <f>IF(C21&gt;0,C21*-0.27,0)</f>
        <v>-9519777.6977005042</v>
      </c>
      <c r="D22" s="22">
        <f>IF(D21&gt;0,C21*-0.27,0)*1.03</f>
        <v>-9805371.0286315195</v>
      </c>
      <c r="E22" s="22">
        <f>IF(D21&gt;0,C21*-0.27,0)*1.03*1.03</f>
        <v>-10099532.159490466</v>
      </c>
    </row>
    <row r="23" spans="1:5" x14ac:dyDescent="0.25">
      <c r="A23" s="16" t="s">
        <v>19</v>
      </c>
      <c r="B23" s="13"/>
      <c r="C23" s="15">
        <f>SUM(C21,C22)</f>
        <v>25738658.219708767</v>
      </c>
      <c r="D23" s="15">
        <f>SUM(C21,C22)*1.03</f>
        <v>26510817.966300029</v>
      </c>
      <c r="E23" s="15">
        <f>SUM(C21,C22)*1.03*1.03</f>
        <v>27306142.505289029</v>
      </c>
    </row>
    <row r="24" spans="1:5" x14ac:dyDescent="0.25">
      <c r="A24" s="13" t="s">
        <v>29</v>
      </c>
      <c r="B24" s="14">
        <v>7034553</v>
      </c>
      <c r="C24" s="13"/>
      <c r="D24" s="14">
        <v>0</v>
      </c>
      <c r="E24" s="13"/>
    </row>
    <row r="25" spans="1:5" x14ac:dyDescent="0.25">
      <c r="A25" s="13" t="s">
        <v>30</v>
      </c>
      <c r="B25" s="26">
        <v>-55830</v>
      </c>
      <c r="C25" s="13"/>
      <c r="D25" s="14">
        <v>0</v>
      </c>
      <c r="E25" s="13"/>
    </row>
    <row r="26" spans="1:5" x14ac:dyDescent="0.25">
      <c r="A26" s="13" t="s">
        <v>31</v>
      </c>
      <c r="B26" s="14">
        <v>0</v>
      </c>
      <c r="C26" s="22">
        <v>-7034553</v>
      </c>
      <c r="D26" s="14">
        <v>0</v>
      </c>
      <c r="E26" s="13"/>
    </row>
    <row r="27" spans="1:5" x14ac:dyDescent="0.25">
      <c r="A27" s="30"/>
    </row>
    <row r="29" spans="1:5" x14ac:dyDescent="0.25">
      <c r="A29" s="21" t="s">
        <v>62</v>
      </c>
      <c r="B29" s="27"/>
      <c r="C29" s="27"/>
      <c r="D29" s="27"/>
      <c r="E29" s="17"/>
    </row>
    <row r="30" spans="1:5" x14ac:dyDescent="0.25">
      <c r="A30" s="13" t="s">
        <v>21</v>
      </c>
      <c r="B30" s="14">
        <v>0</v>
      </c>
      <c r="C30" s="14">
        <v>841667</v>
      </c>
      <c r="D30" s="14">
        <f>C30*1.03</f>
        <v>866917.01</v>
      </c>
      <c r="E30" s="14">
        <f>C30*1.03*1.03</f>
        <v>892924.52029999997</v>
      </c>
    </row>
    <row r="31" spans="1:5" x14ac:dyDescent="0.25">
      <c r="A31" s="13" t="s">
        <v>22</v>
      </c>
      <c r="B31" s="14">
        <v>0</v>
      </c>
      <c r="C31" s="14">
        <v>42289</v>
      </c>
      <c r="D31" s="14">
        <f>C31*1.03</f>
        <v>43557.67</v>
      </c>
      <c r="E31" s="15">
        <f>C31*1.03*1.03</f>
        <v>44864.400099999999</v>
      </c>
    </row>
    <row r="32" spans="1:5" x14ac:dyDescent="0.25">
      <c r="A32" s="13" t="s">
        <v>60</v>
      </c>
      <c r="B32" s="14">
        <v>0</v>
      </c>
      <c r="C32" s="15">
        <f>174990/6</f>
        <v>29165</v>
      </c>
      <c r="D32" s="14">
        <f>174990/6*1.03</f>
        <v>30039.95</v>
      </c>
      <c r="E32" s="14">
        <f>174990/6*1.03*1.03</f>
        <v>30941.148500000003</v>
      </c>
    </row>
    <row r="34" spans="1:5" x14ac:dyDescent="0.25">
      <c r="A34" s="21" t="s">
        <v>23</v>
      </c>
      <c r="B34" s="17"/>
      <c r="C34" s="17"/>
      <c r="D34" s="17"/>
      <c r="E34" s="17"/>
    </row>
    <row r="35" spans="1:5" x14ac:dyDescent="0.25">
      <c r="A35" s="13" t="s">
        <v>77</v>
      </c>
      <c r="B35" s="14">
        <v>4943000</v>
      </c>
      <c r="C35" s="13"/>
      <c r="D35" s="13"/>
      <c r="E35" s="13"/>
    </row>
    <row r="36" spans="1:5" x14ac:dyDescent="0.25">
      <c r="A36" s="13" t="s">
        <v>12</v>
      </c>
      <c r="B36" s="22">
        <v>-5050000</v>
      </c>
      <c r="C36" s="13"/>
      <c r="D36" s="14">
        <v>0</v>
      </c>
      <c r="E36" s="13"/>
    </row>
    <row r="37" spans="1:5" x14ac:dyDescent="0.25">
      <c r="A37" s="13" t="s">
        <v>60</v>
      </c>
      <c r="B37" s="22">
        <v>-174990</v>
      </c>
      <c r="C37" s="13"/>
      <c r="D37" s="14">
        <v>0</v>
      </c>
      <c r="E37" s="13"/>
    </row>
    <row r="38" spans="1:5" x14ac:dyDescent="0.25">
      <c r="A38" s="13" t="s">
        <v>11</v>
      </c>
      <c r="B38" s="22">
        <v>-253733</v>
      </c>
      <c r="C38" s="13"/>
      <c r="D38" s="14">
        <v>0</v>
      </c>
      <c r="E38" s="13"/>
    </row>
    <row r="39" spans="1:5" x14ac:dyDescent="0.25">
      <c r="A39" s="13" t="s">
        <v>13</v>
      </c>
      <c r="B39" s="22">
        <v>-1500000</v>
      </c>
      <c r="C39" s="13"/>
      <c r="D39" s="14">
        <v>0</v>
      </c>
      <c r="E39" s="13"/>
    </row>
    <row r="40" spans="1:5" x14ac:dyDescent="0.25">
      <c r="A40" s="13" t="s">
        <v>14</v>
      </c>
      <c r="B40" s="22">
        <v>-3500000</v>
      </c>
      <c r="C40" s="13"/>
      <c r="D40" s="14">
        <v>0</v>
      </c>
      <c r="E40" s="13"/>
    </row>
    <row r="41" spans="1:5" x14ac:dyDescent="0.25">
      <c r="A41" s="13" t="s">
        <v>15</v>
      </c>
      <c r="B41" s="22">
        <v>-1500000</v>
      </c>
      <c r="C41" s="13"/>
      <c r="D41" s="14">
        <v>0</v>
      </c>
      <c r="E41" s="13"/>
    </row>
    <row r="42" spans="1:5" x14ac:dyDescent="0.25">
      <c r="A42" s="13" t="s">
        <v>59</v>
      </c>
      <c r="B42" s="22">
        <f>SUM(B35,B36,B37,B38,B39,B40,B41)</f>
        <v>-7035723</v>
      </c>
      <c r="C42" s="13"/>
      <c r="D42" s="13"/>
      <c r="E42" s="13"/>
    </row>
    <row r="43" spans="1:5" x14ac:dyDescent="0.25">
      <c r="A43" s="16" t="s">
        <v>16</v>
      </c>
      <c r="B43" s="23">
        <f>SUM(B24,B42)</f>
        <v>-1170</v>
      </c>
      <c r="C43" s="15">
        <f>SUM(C23,C26,C30,C31)</f>
        <v>19588061.219708767</v>
      </c>
      <c r="D43" s="15">
        <f>SUM(D23,D30,D31,D32)</f>
        <v>27451332.596300032</v>
      </c>
      <c r="E43" s="15">
        <f>SUM(D23,D30,D31,D32)*1.03</f>
        <v>28274872.574189033</v>
      </c>
    </row>
    <row r="45" spans="1:5" x14ac:dyDescent="0.25">
      <c r="A45" s="21" t="s">
        <v>24</v>
      </c>
      <c r="B45" s="27"/>
      <c r="C45" s="27"/>
      <c r="D45" s="27"/>
    </row>
    <row r="46" spans="1:5" x14ac:dyDescent="0.25">
      <c r="A46" s="13" t="s">
        <v>25</v>
      </c>
      <c r="B46" s="13"/>
      <c r="C46" s="13"/>
      <c r="D46" s="13"/>
    </row>
    <row r="47" spans="1:5" x14ac:dyDescent="0.25">
      <c r="A47" s="13" t="s">
        <v>26</v>
      </c>
      <c r="B47" s="13"/>
      <c r="C47" s="13"/>
      <c r="D47" s="14">
        <f>650*300*30*12</f>
        <v>70200000</v>
      </c>
    </row>
    <row r="48" spans="1:5" x14ac:dyDescent="0.25">
      <c r="A48" s="13" t="s">
        <v>28</v>
      </c>
      <c r="B48" s="13"/>
      <c r="C48" s="13"/>
      <c r="D48" s="14">
        <f>650*350*30*12</f>
        <v>81900000</v>
      </c>
    </row>
    <row r="49" spans="1:4" x14ac:dyDescent="0.25">
      <c r="A49" s="13" t="s">
        <v>27</v>
      </c>
      <c r="B49" s="13"/>
      <c r="C49" s="13"/>
      <c r="D49" s="14">
        <f>650*200*30*12</f>
        <v>46800000</v>
      </c>
    </row>
  </sheetData>
  <mergeCells count="7">
    <mergeCell ref="G8:K8"/>
    <mergeCell ref="A1:E1"/>
    <mergeCell ref="A3:D3"/>
    <mergeCell ref="G2:I2"/>
    <mergeCell ref="G3:I3"/>
    <mergeCell ref="G5:I5"/>
    <mergeCell ref="G6:I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02951-E783-4D43-A7FA-C05CC9F467B0}">
  <dimension ref="A1:K49"/>
  <sheetViews>
    <sheetView topLeftCell="A15" workbookViewId="0">
      <selection activeCell="B43" sqref="B43"/>
    </sheetView>
  </sheetViews>
  <sheetFormatPr baseColWidth="10" defaultRowHeight="15" x14ac:dyDescent="0.25"/>
  <cols>
    <col min="1" max="1" width="75.7109375" customWidth="1"/>
    <col min="2" max="2" width="12.7109375" bestFit="1" customWidth="1"/>
    <col min="3" max="3" width="13.42578125" bestFit="1" customWidth="1"/>
    <col min="4" max="5" width="12.7109375" bestFit="1" customWidth="1"/>
    <col min="6" max="6" width="12" bestFit="1" customWidth="1"/>
    <col min="7" max="7" width="12.7109375" bestFit="1" customWidth="1"/>
    <col min="8" max="8" width="15.28515625" customWidth="1"/>
    <col min="9" max="9" width="12" bestFit="1" customWidth="1"/>
  </cols>
  <sheetData>
    <row r="1" spans="1:11" x14ac:dyDescent="0.25">
      <c r="A1" s="43" t="s">
        <v>4</v>
      </c>
      <c r="B1" s="43"/>
      <c r="C1" s="43"/>
      <c r="D1" s="43"/>
      <c r="E1" s="43"/>
      <c r="G1" s="44" t="s">
        <v>70</v>
      </c>
      <c r="H1" s="44"/>
      <c r="I1" s="44"/>
    </row>
    <row r="2" spans="1:11" x14ac:dyDescent="0.25">
      <c r="A2" s="11" t="s">
        <v>0</v>
      </c>
      <c r="B2" s="10" t="s">
        <v>1</v>
      </c>
      <c r="C2" s="10" t="s">
        <v>2</v>
      </c>
      <c r="D2" s="10" t="s">
        <v>3</v>
      </c>
      <c r="E2" s="10" t="s">
        <v>63</v>
      </c>
      <c r="G2" s="45">
        <f>NPV(0.12,C43,D43,E43)+B43</f>
        <v>100493814.71213312</v>
      </c>
      <c r="H2" s="45"/>
      <c r="I2" s="45"/>
    </row>
    <row r="3" spans="1:11" x14ac:dyDescent="0.25">
      <c r="A3" s="42" t="s">
        <v>6</v>
      </c>
      <c r="B3" s="42"/>
      <c r="C3" s="42"/>
      <c r="D3" s="42"/>
      <c r="E3" s="17"/>
    </row>
    <row r="4" spans="1:11" x14ac:dyDescent="0.25">
      <c r="A4" s="13" t="s">
        <v>57</v>
      </c>
      <c r="B4" s="14">
        <v>0</v>
      </c>
      <c r="C4" s="14">
        <f>650*300*30*12</f>
        <v>70200000</v>
      </c>
      <c r="D4" s="15">
        <f>C4*1.03</f>
        <v>72306000</v>
      </c>
      <c r="E4" s="15">
        <f>C4*1.03*1.03</f>
        <v>74475180</v>
      </c>
      <c r="G4" s="46" t="s">
        <v>71</v>
      </c>
      <c r="H4" s="46"/>
      <c r="I4" s="46"/>
    </row>
    <row r="5" spans="1:11" x14ac:dyDescent="0.25">
      <c r="A5" s="16" t="s">
        <v>5</v>
      </c>
      <c r="B5" s="14">
        <v>0</v>
      </c>
      <c r="C5" s="14">
        <f>650*300*30*12</f>
        <v>70200000</v>
      </c>
      <c r="D5" s="15">
        <f>C5*1.03</f>
        <v>72306000</v>
      </c>
      <c r="E5" s="15">
        <f>C5*1.03*1.03</f>
        <v>74475180</v>
      </c>
      <c r="G5" s="39">
        <f>IRR(B43:E43)</f>
        <v>30933.363688239086</v>
      </c>
      <c r="H5" s="39"/>
      <c r="I5" s="39"/>
    </row>
    <row r="6" spans="1:11" x14ac:dyDescent="0.25">
      <c r="B6" s="6"/>
    </row>
    <row r="7" spans="1:11" ht="15" customHeight="1" x14ac:dyDescent="0.25">
      <c r="A7" s="21" t="s">
        <v>47</v>
      </c>
      <c r="B7" s="28"/>
      <c r="C7" s="17"/>
      <c r="D7" s="17"/>
      <c r="E7" s="17"/>
    </row>
    <row r="8" spans="1:11" ht="17.25" customHeight="1" x14ac:dyDescent="0.25">
      <c r="A8" s="13" t="s">
        <v>7</v>
      </c>
      <c r="B8" s="14">
        <v>0</v>
      </c>
      <c r="C8" s="22">
        <v>-300000</v>
      </c>
      <c r="D8" s="23">
        <f>C8*1.03</f>
        <v>-309000</v>
      </c>
      <c r="E8" s="23">
        <f>C8*1.03*1.03</f>
        <v>-318270</v>
      </c>
      <c r="G8" s="40" t="s">
        <v>76</v>
      </c>
      <c r="H8" s="41"/>
      <c r="I8" s="41"/>
      <c r="J8" s="41"/>
      <c r="K8" s="41"/>
    </row>
    <row r="9" spans="1:11" x14ac:dyDescent="0.25">
      <c r="A9" s="13" t="s">
        <v>51</v>
      </c>
      <c r="B9" s="14">
        <v>0</v>
      </c>
      <c r="C9" s="22">
        <v>-384000</v>
      </c>
      <c r="D9" s="23">
        <f>C9*1.03</f>
        <v>-395520</v>
      </c>
      <c r="E9" s="23">
        <f>C9*1.03*1.03</f>
        <v>-407385.60000000003</v>
      </c>
      <c r="G9" s="33" t="s">
        <v>72</v>
      </c>
      <c r="H9" s="34">
        <f>ABS(B43/C43)</f>
        <v>3.2327795919798321E-5</v>
      </c>
      <c r="I9" s="33"/>
      <c r="J9" s="33"/>
      <c r="K9" s="33"/>
    </row>
    <row r="10" spans="1:11" x14ac:dyDescent="0.25">
      <c r="A10" s="13" t="s">
        <v>44</v>
      </c>
      <c r="B10" s="14">
        <v>0</v>
      </c>
      <c r="C10" s="22">
        <v>-294921</v>
      </c>
      <c r="D10" s="23">
        <f>C10*1.03</f>
        <v>-303768.63</v>
      </c>
      <c r="E10" s="23">
        <f>C10*1.03*1.03</f>
        <v>-312881.68890000001</v>
      </c>
      <c r="G10" s="35" t="s">
        <v>73</v>
      </c>
      <c r="H10" s="36">
        <f>ABS(B43/C43)*12</f>
        <v>3.8793355103757985E-4</v>
      </c>
      <c r="I10" s="33"/>
      <c r="J10" s="33"/>
      <c r="K10" s="33"/>
    </row>
    <row r="11" spans="1:11" x14ac:dyDescent="0.25">
      <c r="A11" s="13" t="s">
        <v>8</v>
      </c>
      <c r="B11" s="14">
        <v>0</v>
      </c>
      <c r="C11" s="22">
        <v>-720000</v>
      </c>
      <c r="D11" s="23">
        <f>C11*1.03</f>
        <v>-741600</v>
      </c>
      <c r="E11" s="23">
        <f>C11*1.03*1.03</f>
        <v>-763848</v>
      </c>
      <c r="G11" s="35" t="s">
        <v>74</v>
      </c>
      <c r="H11" s="36">
        <f>(ABS(B43/C43)*12)*4.3</f>
        <v>1.6681142694615933E-3</v>
      </c>
      <c r="I11" s="37"/>
      <c r="J11" s="33"/>
      <c r="K11" s="33"/>
    </row>
    <row r="12" spans="1:11" x14ac:dyDescent="0.25">
      <c r="A12" s="13" t="s">
        <v>52</v>
      </c>
      <c r="B12" s="14">
        <v>0</v>
      </c>
      <c r="C12" s="23">
        <f>C4*-0.028</f>
        <v>-1965600</v>
      </c>
      <c r="D12" s="23">
        <f>C4*-0.028*1.03</f>
        <v>-2024568</v>
      </c>
      <c r="E12" s="23">
        <f>C4*-0.028*1.03*1.03</f>
        <v>-2085305.04</v>
      </c>
      <c r="G12" s="35" t="s">
        <v>75</v>
      </c>
      <c r="H12" s="38">
        <f>ABS(B43/C43)*360</f>
        <v>1.1638006531127395E-2</v>
      </c>
      <c r="I12" s="37"/>
      <c r="J12" s="33"/>
      <c r="K12" s="33"/>
    </row>
    <row r="13" spans="1:11" x14ac:dyDescent="0.25">
      <c r="A13" s="13" t="s">
        <v>20</v>
      </c>
      <c r="B13" s="14">
        <v>0</v>
      </c>
      <c r="C13" s="31">
        <f>PMT(1.25%,12,7034553)*12</f>
        <v>-7619122.5825907309</v>
      </c>
      <c r="D13" s="24">
        <v>0</v>
      </c>
      <c r="E13" s="14">
        <v>0</v>
      </c>
      <c r="G13" s="1"/>
      <c r="H13" s="2"/>
      <c r="I13" s="2"/>
    </row>
    <row r="14" spans="1:11" x14ac:dyDescent="0.25">
      <c r="A14" s="16" t="s">
        <v>9</v>
      </c>
      <c r="B14" s="14">
        <v>0</v>
      </c>
      <c r="C14" s="23">
        <f>SUM(C8,C9,C10,C11,C12,C13)</f>
        <v>-11283643.582590731</v>
      </c>
      <c r="D14" s="23">
        <f>SUM(D8,D9,D10,D11,D12)</f>
        <v>-3774456.63</v>
      </c>
      <c r="E14" s="23">
        <f>SUM(D8,D9,D10,D11,D12)*1.03</f>
        <v>-3887690.3289000001</v>
      </c>
    </row>
    <row r="15" spans="1:11" x14ac:dyDescent="0.25">
      <c r="B15" s="6"/>
    </row>
    <row r="16" spans="1:11" x14ac:dyDescent="0.25">
      <c r="A16" s="21" t="s">
        <v>10</v>
      </c>
      <c r="B16" s="28"/>
      <c r="C16" s="17"/>
      <c r="D16" s="17"/>
      <c r="E16" s="17"/>
    </row>
    <row r="17" spans="1:6" x14ac:dyDescent="0.25">
      <c r="A17" s="13" t="s">
        <v>32</v>
      </c>
      <c r="B17" s="14">
        <v>0</v>
      </c>
      <c r="C17" s="23">
        <f>B36/6</f>
        <v>-841666.66666666663</v>
      </c>
      <c r="D17" s="23">
        <f>B36/6*1.03</f>
        <v>-866916.66666666663</v>
      </c>
      <c r="E17" s="23">
        <f>B36/6*1.03*1.03</f>
        <v>-892924.16666666663</v>
      </c>
    </row>
    <row r="18" spans="1:6" x14ac:dyDescent="0.25">
      <c r="A18" s="13" t="s">
        <v>33</v>
      </c>
      <c r="B18" s="14">
        <v>0</v>
      </c>
      <c r="C18" s="23">
        <f>B38/6</f>
        <v>-42288.833333333336</v>
      </c>
      <c r="D18" s="23">
        <f>B38/6*1.03</f>
        <v>-43557.498333333337</v>
      </c>
      <c r="E18" s="23">
        <f>B38/6*1.03*1.03</f>
        <v>-44864.22328333334</v>
      </c>
    </row>
    <row r="19" spans="1:6" x14ac:dyDescent="0.25">
      <c r="A19" s="13" t="s">
        <v>61</v>
      </c>
      <c r="B19" s="13"/>
      <c r="C19" s="23">
        <f>B37/6</f>
        <v>-29165</v>
      </c>
      <c r="D19" s="23">
        <f>B37/6*1.03</f>
        <v>-30039.95</v>
      </c>
      <c r="E19" s="23">
        <f>B37/6*1.03*1.03</f>
        <v>-30941.148500000003</v>
      </c>
    </row>
    <row r="21" spans="1:6" x14ac:dyDescent="0.25">
      <c r="A21" s="21" t="s">
        <v>17</v>
      </c>
      <c r="B21" s="17"/>
      <c r="C21" s="25">
        <f>SUM(C4,C8,C9,C10,C11,C12,C13,C17,C18,C19)</f>
        <v>58003235.917409271</v>
      </c>
      <c r="D21" s="25">
        <f>SUM(D4,D8,D9,D10,D11,D12,D17,D18,D19)</f>
        <v>67591029.254999995</v>
      </c>
      <c r="E21" s="25">
        <f>SUM(D4,D8,D9,D10,D11,D12,D17,D18,D19)*1.03</f>
        <v>69618760.132650003</v>
      </c>
      <c r="F21" s="2"/>
    </row>
    <row r="22" spans="1:6" x14ac:dyDescent="0.25">
      <c r="A22" s="13" t="s">
        <v>18</v>
      </c>
      <c r="B22" s="14">
        <v>0</v>
      </c>
      <c r="C22" s="22">
        <f>IF(C21&gt;0,C21*-0.27,0)</f>
        <v>-15660873.697700504</v>
      </c>
      <c r="D22" s="22">
        <f>IF(D21&gt;0,C21*-0.27,0)*1.03</f>
        <v>-16130699.90863152</v>
      </c>
      <c r="E22" s="22">
        <f>IF(D21&gt;0,C21*-0.27,0)*1.03*1.03</f>
        <v>-16614620.905890467</v>
      </c>
    </row>
    <row r="23" spans="1:6" x14ac:dyDescent="0.25">
      <c r="A23" s="16" t="s">
        <v>19</v>
      </c>
      <c r="B23" s="13"/>
      <c r="C23" s="15">
        <f>SUM(C21,C22)</f>
        <v>42342362.219708771</v>
      </c>
      <c r="D23" s="15">
        <f>SUM(C21,C22)*1.03</f>
        <v>43612633.086300038</v>
      </c>
      <c r="E23" s="15">
        <f>SUM(C21,C22)*1.03*1.03</f>
        <v>44921012.078889042</v>
      </c>
    </row>
    <row r="24" spans="1:6" x14ac:dyDescent="0.25">
      <c r="A24" s="13" t="s">
        <v>29</v>
      </c>
      <c r="B24" s="14">
        <v>7034553</v>
      </c>
      <c r="C24" s="13"/>
      <c r="D24" s="14">
        <v>0</v>
      </c>
      <c r="E24" s="13"/>
    </row>
    <row r="25" spans="1:6" x14ac:dyDescent="0.25">
      <c r="A25" s="13" t="s">
        <v>30</v>
      </c>
      <c r="B25" s="26">
        <v>-55830</v>
      </c>
      <c r="C25" s="13"/>
      <c r="D25" s="14">
        <v>0</v>
      </c>
      <c r="E25" s="13"/>
    </row>
    <row r="26" spans="1:6" x14ac:dyDescent="0.25">
      <c r="A26" s="13" t="s">
        <v>31</v>
      </c>
      <c r="B26" s="14">
        <v>0</v>
      </c>
      <c r="C26" s="22">
        <v>-7034553</v>
      </c>
      <c r="D26" s="14">
        <v>0</v>
      </c>
      <c r="E26" s="13"/>
    </row>
    <row r="27" spans="1:6" x14ac:dyDescent="0.25">
      <c r="B27" s="29"/>
    </row>
    <row r="29" spans="1:6" x14ac:dyDescent="0.25">
      <c r="A29" s="21" t="s">
        <v>62</v>
      </c>
      <c r="B29" s="27"/>
      <c r="C29" s="27"/>
      <c r="D29" s="27"/>
      <c r="E29" s="17"/>
    </row>
    <row r="30" spans="1:6" x14ac:dyDescent="0.25">
      <c r="A30" s="13" t="s">
        <v>21</v>
      </c>
      <c r="B30" s="13">
        <v>0</v>
      </c>
      <c r="C30" s="14">
        <v>841667</v>
      </c>
      <c r="D30" s="14">
        <f>C30*1.03</f>
        <v>866917.01</v>
      </c>
      <c r="E30" s="14">
        <f>C30*1.03*1.03</f>
        <v>892924.52029999997</v>
      </c>
    </row>
    <row r="31" spans="1:6" x14ac:dyDescent="0.25">
      <c r="A31" s="13" t="s">
        <v>22</v>
      </c>
      <c r="B31" s="13">
        <v>0</v>
      </c>
      <c r="C31" s="14">
        <v>42289</v>
      </c>
      <c r="D31" s="14">
        <f>C31*1.03</f>
        <v>43557.67</v>
      </c>
      <c r="E31" s="15">
        <f>C31*1.03*1.03</f>
        <v>44864.400099999999</v>
      </c>
    </row>
    <row r="32" spans="1:6" x14ac:dyDescent="0.25">
      <c r="A32" s="13" t="s">
        <v>60</v>
      </c>
      <c r="B32" s="13">
        <v>0</v>
      </c>
      <c r="C32" s="15">
        <f>174990/6</f>
        <v>29165</v>
      </c>
      <c r="D32" s="14">
        <f>174990/6*1.03</f>
        <v>30039.95</v>
      </c>
      <c r="E32" s="14">
        <f>174990/6*1.03*1.03</f>
        <v>30941.148500000003</v>
      </c>
    </row>
    <row r="34" spans="1:5" x14ac:dyDescent="0.25">
      <c r="A34" s="21" t="s">
        <v>23</v>
      </c>
      <c r="B34" s="17"/>
      <c r="C34" s="17"/>
      <c r="D34" s="17"/>
      <c r="E34" s="17"/>
    </row>
    <row r="35" spans="1:5" x14ac:dyDescent="0.25">
      <c r="A35" s="13" t="s">
        <v>77</v>
      </c>
      <c r="B35" s="14">
        <v>4943000</v>
      </c>
      <c r="C35" s="13"/>
      <c r="D35" s="13"/>
      <c r="E35" s="13"/>
    </row>
    <row r="36" spans="1:5" x14ac:dyDescent="0.25">
      <c r="A36" s="13" t="s">
        <v>12</v>
      </c>
      <c r="B36" s="22">
        <v>-5050000</v>
      </c>
      <c r="C36" s="13"/>
      <c r="D36" s="13">
        <v>0</v>
      </c>
      <c r="E36" s="13"/>
    </row>
    <row r="37" spans="1:5" x14ac:dyDescent="0.25">
      <c r="A37" s="13" t="s">
        <v>60</v>
      </c>
      <c r="B37" s="22">
        <v>-174990</v>
      </c>
      <c r="C37" s="13"/>
      <c r="D37" s="13">
        <v>0</v>
      </c>
      <c r="E37" s="13"/>
    </row>
    <row r="38" spans="1:5" x14ac:dyDescent="0.25">
      <c r="A38" s="13" t="s">
        <v>11</v>
      </c>
      <c r="B38" s="22">
        <v>-253733</v>
      </c>
      <c r="C38" s="13"/>
      <c r="D38" s="13">
        <v>0</v>
      </c>
      <c r="E38" s="13"/>
    </row>
    <row r="39" spans="1:5" x14ac:dyDescent="0.25">
      <c r="A39" s="13" t="s">
        <v>13</v>
      </c>
      <c r="B39" s="22">
        <v>-1500000</v>
      </c>
      <c r="C39" s="13"/>
      <c r="D39" s="13">
        <v>0</v>
      </c>
      <c r="E39" s="13"/>
    </row>
    <row r="40" spans="1:5" x14ac:dyDescent="0.25">
      <c r="A40" s="13" t="s">
        <v>14</v>
      </c>
      <c r="B40" s="22">
        <v>-3500000</v>
      </c>
      <c r="C40" s="13"/>
      <c r="D40" s="13">
        <v>0</v>
      </c>
      <c r="E40" s="13"/>
    </row>
    <row r="41" spans="1:5" x14ac:dyDescent="0.25">
      <c r="A41" s="13" t="s">
        <v>15</v>
      </c>
      <c r="B41" s="22">
        <v>-1500000</v>
      </c>
      <c r="C41" s="13"/>
      <c r="D41" s="13">
        <v>0</v>
      </c>
      <c r="E41" s="13"/>
    </row>
    <row r="42" spans="1:5" x14ac:dyDescent="0.25">
      <c r="A42" s="13" t="s">
        <v>59</v>
      </c>
      <c r="B42" s="22">
        <f>SUM(B35,B36,B37,B38,B39,B40,B41)</f>
        <v>-7035723</v>
      </c>
      <c r="C42" s="13"/>
      <c r="D42" s="13"/>
      <c r="E42" s="13"/>
    </row>
    <row r="43" spans="1:5" x14ac:dyDescent="0.25">
      <c r="A43" s="16" t="s">
        <v>16</v>
      </c>
      <c r="B43" s="23">
        <f>SUM(B24,B42)</f>
        <v>-1170</v>
      </c>
      <c r="C43" s="15">
        <f>SUM(C23,C26,C30,C31)</f>
        <v>36191765.219708771</v>
      </c>
      <c r="D43" s="15">
        <f>SUM(D23,D30,D31,D32)</f>
        <v>44553147.71630004</v>
      </c>
      <c r="E43" s="15">
        <f>SUM(D23,D30,D31,D32)*1.03</f>
        <v>45889742.147789046</v>
      </c>
    </row>
    <row r="45" spans="1:5" x14ac:dyDescent="0.25">
      <c r="A45" s="21" t="s">
        <v>24</v>
      </c>
      <c r="B45" s="27"/>
      <c r="C45" s="27"/>
      <c r="D45" s="27"/>
    </row>
    <row r="46" spans="1:5" x14ac:dyDescent="0.25">
      <c r="A46" s="13" t="s">
        <v>25</v>
      </c>
      <c r="B46" s="13"/>
      <c r="C46" s="13"/>
      <c r="D46" s="13"/>
    </row>
    <row r="47" spans="1:5" x14ac:dyDescent="0.25">
      <c r="A47" s="13" t="s">
        <v>26</v>
      </c>
      <c r="B47" s="13"/>
      <c r="C47" s="13"/>
      <c r="D47" s="14">
        <f>650*300*30*12</f>
        <v>70200000</v>
      </c>
    </row>
    <row r="48" spans="1:5" x14ac:dyDescent="0.25">
      <c r="A48" s="13" t="s">
        <v>28</v>
      </c>
      <c r="B48" s="13"/>
      <c r="C48" s="13"/>
      <c r="D48" s="14">
        <f>650*350*30*12</f>
        <v>81900000</v>
      </c>
    </row>
    <row r="49" spans="1:4" x14ac:dyDescent="0.25">
      <c r="A49" s="13" t="s">
        <v>27</v>
      </c>
      <c r="B49" s="13"/>
      <c r="C49" s="13"/>
      <c r="D49" s="14">
        <f>650*200*30*12</f>
        <v>46800000</v>
      </c>
    </row>
  </sheetData>
  <mergeCells count="7">
    <mergeCell ref="G5:I5"/>
    <mergeCell ref="G8:K8"/>
    <mergeCell ref="A3:D3"/>
    <mergeCell ref="A1:E1"/>
    <mergeCell ref="G1:I1"/>
    <mergeCell ref="G2:I2"/>
    <mergeCell ref="G4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5195D-0B56-4BE2-9033-283ECC2FB6A4}">
  <dimension ref="A1:K48"/>
  <sheetViews>
    <sheetView topLeftCell="A19" zoomScaleNormal="100" workbookViewId="0">
      <selection activeCell="I34" sqref="I34"/>
    </sheetView>
  </sheetViews>
  <sheetFormatPr baseColWidth="10" defaultRowHeight="15" x14ac:dyDescent="0.25"/>
  <cols>
    <col min="1" max="1" width="79" customWidth="1"/>
    <col min="2" max="2" width="17.5703125" customWidth="1"/>
    <col min="3" max="3" width="23.7109375" customWidth="1"/>
    <col min="4" max="4" width="24.42578125" customWidth="1"/>
    <col min="5" max="5" width="19.85546875" customWidth="1"/>
  </cols>
  <sheetData>
    <row r="1" spans="1:11" x14ac:dyDescent="0.25">
      <c r="A1" s="43" t="s">
        <v>4</v>
      </c>
      <c r="B1" s="43"/>
      <c r="C1" s="43"/>
      <c r="D1" s="43"/>
      <c r="E1" s="43"/>
    </row>
    <row r="2" spans="1:11" x14ac:dyDescent="0.25">
      <c r="A2" s="11" t="s">
        <v>0</v>
      </c>
      <c r="B2" s="10" t="s">
        <v>1</v>
      </c>
      <c r="C2" s="10" t="s">
        <v>2</v>
      </c>
      <c r="D2" s="10" t="s">
        <v>3</v>
      </c>
      <c r="E2" s="10" t="s">
        <v>63</v>
      </c>
    </row>
    <row r="3" spans="1:11" x14ac:dyDescent="0.25">
      <c r="A3" s="42" t="s">
        <v>6</v>
      </c>
      <c r="B3" s="42"/>
      <c r="C3" s="42"/>
      <c r="D3" s="42"/>
      <c r="E3" s="17"/>
      <c r="G3" s="44" t="s">
        <v>70</v>
      </c>
      <c r="H3" s="44"/>
      <c r="I3" s="44"/>
    </row>
    <row r="4" spans="1:11" x14ac:dyDescent="0.25">
      <c r="A4" s="13" t="s">
        <v>57</v>
      </c>
      <c r="B4" s="14">
        <v>0</v>
      </c>
      <c r="C4" s="14">
        <f>650*350*30*12</f>
        <v>81900000</v>
      </c>
      <c r="D4" s="15">
        <f>C4*1.03</f>
        <v>84357000</v>
      </c>
      <c r="E4" s="15">
        <f>C4*1.03*1.03</f>
        <v>86887710</v>
      </c>
      <c r="G4" s="45">
        <f>NPV(0.12,C42:E42)+B42</f>
        <v>120991871.83876164</v>
      </c>
      <c r="H4" s="45"/>
      <c r="I4" s="45"/>
    </row>
    <row r="5" spans="1:11" x14ac:dyDescent="0.25">
      <c r="A5" s="16" t="s">
        <v>5</v>
      </c>
      <c r="B5" s="14">
        <v>0</v>
      </c>
      <c r="C5" s="14">
        <f>650*350*30*12</f>
        <v>81900000</v>
      </c>
      <c r="D5" s="15">
        <f>C5*1.03</f>
        <v>84357000</v>
      </c>
      <c r="E5" s="15">
        <f>C5*1.03*1.03</f>
        <v>86887710</v>
      </c>
    </row>
    <row r="6" spans="1:11" x14ac:dyDescent="0.25">
      <c r="G6" s="46" t="s">
        <v>71</v>
      </c>
      <c r="H6" s="46"/>
      <c r="I6" s="46"/>
    </row>
    <row r="7" spans="1:11" x14ac:dyDescent="0.25">
      <c r="A7" s="21" t="s">
        <v>47</v>
      </c>
      <c r="B7" s="17"/>
      <c r="C7" s="17"/>
      <c r="D7" s="17"/>
      <c r="E7" s="17"/>
      <c r="G7" s="39">
        <f>IRR(B42:E42)</f>
        <v>38028.926181986644</v>
      </c>
      <c r="H7" s="39"/>
      <c r="I7" s="39"/>
    </row>
    <row r="8" spans="1:11" x14ac:dyDescent="0.25">
      <c r="A8" s="13" t="s">
        <v>7</v>
      </c>
      <c r="B8" s="14">
        <v>0</v>
      </c>
      <c r="C8" s="22">
        <v>-300000</v>
      </c>
      <c r="D8" s="23">
        <f>C8*1.03</f>
        <v>-309000</v>
      </c>
      <c r="E8" s="23">
        <f>C8*1.03*1.03</f>
        <v>-318270</v>
      </c>
    </row>
    <row r="9" spans="1:11" x14ac:dyDescent="0.25">
      <c r="A9" s="13" t="s">
        <v>51</v>
      </c>
      <c r="B9" s="14">
        <v>0</v>
      </c>
      <c r="C9" s="22">
        <v>-384000</v>
      </c>
      <c r="D9" s="23">
        <f>C9*1.03</f>
        <v>-395520</v>
      </c>
      <c r="E9" s="23">
        <f>C9*1.03*1.03</f>
        <v>-407385.60000000003</v>
      </c>
      <c r="G9" s="40" t="s">
        <v>76</v>
      </c>
      <c r="H9" s="41"/>
      <c r="I9" s="41"/>
      <c r="J9" s="41"/>
      <c r="K9" s="41"/>
    </row>
    <row r="10" spans="1:11" x14ac:dyDescent="0.25">
      <c r="A10" s="13" t="s">
        <v>44</v>
      </c>
      <c r="B10" s="14">
        <v>0</v>
      </c>
      <c r="C10" s="22">
        <v>-294921</v>
      </c>
      <c r="D10" s="23">
        <f>C10*1.03</f>
        <v>-303768.63</v>
      </c>
      <c r="E10" s="23">
        <f>C10*1.03*1.03</f>
        <v>-312881.68890000001</v>
      </c>
      <c r="G10" s="33" t="s">
        <v>72</v>
      </c>
      <c r="H10" s="34">
        <f>ABS(B42/C42)</f>
        <v>2.6295906539190976E-5</v>
      </c>
      <c r="I10" s="33"/>
      <c r="J10" s="33"/>
      <c r="K10" s="33"/>
    </row>
    <row r="11" spans="1:11" x14ac:dyDescent="0.25">
      <c r="A11" s="13" t="s">
        <v>8</v>
      </c>
      <c r="B11" s="14">
        <v>0</v>
      </c>
      <c r="C11" s="22">
        <v>-720000</v>
      </c>
      <c r="D11" s="23">
        <f>C11*1.03</f>
        <v>-741600</v>
      </c>
      <c r="E11" s="23">
        <f>C11*1.03*1.03</f>
        <v>-763848</v>
      </c>
      <c r="G11" s="35" t="s">
        <v>73</v>
      </c>
      <c r="H11" s="36">
        <f>ABS(B42/C42)*12</f>
        <v>3.1555087847029168E-4</v>
      </c>
      <c r="I11" s="33"/>
      <c r="J11" s="33"/>
      <c r="K11" s="33"/>
    </row>
    <row r="12" spans="1:11" x14ac:dyDescent="0.25">
      <c r="A12" s="13" t="s">
        <v>52</v>
      </c>
      <c r="B12" s="14">
        <v>0</v>
      </c>
      <c r="C12" s="23">
        <f>C4*-0.028</f>
        <v>-2293200</v>
      </c>
      <c r="D12" s="23">
        <f>C4*-0.028*1.03</f>
        <v>-2361996</v>
      </c>
      <c r="E12" s="23">
        <f>C4*-0.028*1.03*1.03</f>
        <v>-2432855.88</v>
      </c>
      <c r="G12" s="35" t="s">
        <v>74</v>
      </c>
      <c r="H12" s="36">
        <f>(ABS(B42/C42)*12)*4.3</f>
        <v>1.3568687774222542E-3</v>
      </c>
      <c r="I12" s="37"/>
      <c r="J12" s="33"/>
      <c r="K12" s="33"/>
    </row>
    <row r="13" spans="1:11" x14ac:dyDescent="0.25">
      <c r="A13" s="13" t="s">
        <v>20</v>
      </c>
      <c r="B13" s="14">
        <v>0</v>
      </c>
      <c r="C13" s="31">
        <f>PMT(1.25%,12,7034553)*12</f>
        <v>-7619122.5825907309</v>
      </c>
      <c r="D13" s="24">
        <v>0</v>
      </c>
      <c r="E13" s="14">
        <v>0</v>
      </c>
      <c r="G13" s="35" t="s">
        <v>75</v>
      </c>
      <c r="H13" s="38">
        <f>ABS(B42/C42)*360</f>
        <v>9.4665263541087504E-3</v>
      </c>
      <c r="I13" s="37"/>
      <c r="J13" s="33"/>
      <c r="K13" s="33"/>
    </row>
    <row r="14" spans="1:11" x14ac:dyDescent="0.25">
      <c r="A14" s="16" t="s">
        <v>9</v>
      </c>
      <c r="B14" s="14">
        <v>0</v>
      </c>
      <c r="C14" s="23">
        <f>SUM(C8,C9,C10,C11,C12,C13)</f>
        <v>-11611243.582590731</v>
      </c>
      <c r="D14" s="23">
        <f>SUM(D8,D9,D10,D11,D12)</f>
        <v>-4111884.63</v>
      </c>
      <c r="E14" s="23">
        <f>SUM(D8,D9,D10,D11,D12)*1.03</f>
        <v>-4235241.1688999999</v>
      </c>
    </row>
    <row r="15" spans="1:11" x14ac:dyDescent="0.25">
      <c r="B15" s="6"/>
    </row>
    <row r="16" spans="1:11" x14ac:dyDescent="0.25">
      <c r="A16" s="21" t="s">
        <v>10</v>
      </c>
      <c r="B16" s="28"/>
      <c r="C16" s="17"/>
      <c r="D16" s="17"/>
      <c r="E16" s="17"/>
    </row>
    <row r="17" spans="1:5" x14ac:dyDescent="0.25">
      <c r="A17" s="13" t="s">
        <v>32</v>
      </c>
      <c r="B17" s="14">
        <v>0</v>
      </c>
      <c r="C17" s="23">
        <f>B35/6</f>
        <v>-841666.66666666663</v>
      </c>
      <c r="D17" s="23">
        <f>B35/6*1.03</f>
        <v>-866916.66666666663</v>
      </c>
      <c r="E17" s="23">
        <f>B35/6*1.03*1.03</f>
        <v>-892924.16666666663</v>
      </c>
    </row>
    <row r="18" spans="1:5" x14ac:dyDescent="0.25">
      <c r="A18" s="13" t="s">
        <v>33</v>
      </c>
      <c r="B18" s="14">
        <v>0</v>
      </c>
      <c r="C18" s="23">
        <f>B37/6</f>
        <v>-42288.833333333336</v>
      </c>
      <c r="D18" s="23">
        <f>B37/6*1.03</f>
        <v>-43557.498333333337</v>
      </c>
      <c r="E18" s="23">
        <f>B37/6*1.03*1.03</f>
        <v>-44864.22328333334</v>
      </c>
    </row>
    <row r="19" spans="1:5" x14ac:dyDescent="0.25">
      <c r="A19" s="13" t="s">
        <v>61</v>
      </c>
      <c r="B19" s="13"/>
      <c r="C19" s="23">
        <f>B36/6</f>
        <v>-29165</v>
      </c>
      <c r="D19" s="23">
        <f>B36/6*1.03</f>
        <v>-30039.95</v>
      </c>
      <c r="E19" s="23">
        <f>B36/6*1.03*1.03</f>
        <v>-30941.148500000003</v>
      </c>
    </row>
    <row r="21" spans="1:5" x14ac:dyDescent="0.25">
      <c r="A21" s="21" t="s">
        <v>17</v>
      </c>
      <c r="B21" s="17"/>
      <c r="C21" s="25">
        <f>SUM(C4,C8,C9,C10,C11,C12,C13,C17,C18,C19)</f>
        <v>69375635.917409271</v>
      </c>
      <c r="D21" s="25">
        <f>SUM(D4,D8,D9,D10,D11,D12,D17,D18,D19)</f>
        <v>79304601.254999995</v>
      </c>
      <c r="E21" s="25">
        <f>SUM(D4,D8,D9,D10,D11,D12,D17,D18,D19)*1.03</f>
        <v>81683739.292649999</v>
      </c>
    </row>
    <row r="22" spans="1:5" x14ac:dyDescent="0.25">
      <c r="A22" s="13" t="s">
        <v>18</v>
      </c>
      <c r="B22" s="14">
        <v>0</v>
      </c>
      <c r="C22" s="22">
        <f>IF(C21&gt;0,C21*-0.27,0)</f>
        <v>-18731421.697700504</v>
      </c>
      <c r="D22" s="22">
        <f>IF(D21&gt;0,C21*-0.27,0)*1.03</f>
        <v>-19293364.34863152</v>
      </c>
      <c r="E22" s="22">
        <f>IF(D21&gt;0,C21*-0.27,0)*1.03*1.03</f>
        <v>-19872165.279090464</v>
      </c>
    </row>
    <row r="23" spans="1:5" x14ac:dyDescent="0.25">
      <c r="A23" s="16" t="s">
        <v>19</v>
      </c>
      <c r="B23" s="13"/>
      <c r="C23" s="15">
        <f>SUM(C21,C22)</f>
        <v>50644214.219708771</v>
      </c>
      <c r="D23" s="15">
        <f>SUM(C21,C22)*1.03</f>
        <v>52163540.646300033</v>
      </c>
      <c r="E23" s="15">
        <f>SUM(C21,C22)*1.03*1.03</f>
        <v>53728446.865689032</v>
      </c>
    </row>
    <row r="24" spans="1:5" x14ac:dyDescent="0.25">
      <c r="A24" s="13" t="s">
        <v>29</v>
      </c>
      <c r="B24" s="14">
        <v>7034553</v>
      </c>
      <c r="C24" s="13"/>
      <c r="D24" s="14">
        <v>0</v>
      </c>
      <c r="E24" s="13"/>
    </row>
    <row r="25" spans="1:5" x14ac:dyDescent="0.25">
      <c r="A25" s="13" t="s">
        <v>30</v>
      </c>
      <c r="B25" s="26">
        <v>-55830</v>
      </c>
      <c r="C25" s="13"/>
      <c r="D25" s="14">
        <v>0</v>
      </c>
      <c r="E25" s="13"/>
    </row>
    <row r="26" spans="1:5" x14ac:dyDescent="0.25">
      <c r="A26" s="13" t="s">
        <v>31</v>
      </c>
      <c r="B26" s="14">
        <v>0</v>
      </c>
      <c r="C26" s="22">
        <v>-7034553</v>
      </c>
      <c r="D26" s="14">
        <v>0</v>
      </c>
      <c r="E26" s="13"/>
    </row>
    <row r="28" spans="1:5" x14ac:dyDescent="0.25">
      <c r="A28" s="21" t="s">
        <v>62</v>
      </c>
      <c r="B28" s="27"/>
      <c r="C28" s="27"/>
      <c r="D28" s="27"/>
      <c r="E28" s="17"/>
    </row>
    <row r="29" spans="1:5" x14ac:dyDescent="0.25">
      <c r="A29" s="13" t="s">
        <v>21</v>
      </c>
      <c r="B29" s="14">
        <v>0</v>
      </c>
      <c r="C29" s="14">
        <v>841667</v>
      </c>
      <c r="D29" s="14">
        <f>C29*1.03</f>
        <v>866917.01</v>
      </c>
      <c r="E29" s="14">
        <f>C29*1.03*1.03</f>
        <v>892924.52029999997</v>
      </c>
    </row>
    <row r="30" spans="1:5" x14ac:dyDescent="0.25">
      <c r="A30" s="13" t="s">
        <v>22</v>
      </c>
      <c r="B30" s="14">
        <v>0</v>
      </c>
      <c r="C30" s="14">
        <v>42289</v>
      </c>
      <c r="D30" s="14">
        <f>C30*1.03</f>
        <v>43557.67</v>
      </c>
      <c r="E30" s="15">
        <f>C30*1.03*1.03</f>
        <v>44864.400099999999</v>
      </c>
    </row>
    <row r="31" spans="1:5" x14ac:dyDescent="0.25">
      <c r="A31" s="13" t="s">
        <v>60</v>
      </c>
      <c r="B31" s="14">
        <v>0</v>
      </c>
      <c r="C31" s="15">
        <f>174990/6</f>
        <v>29165</v>
      </c>
      <c r="D31" s="14">
        <f>174990/6*1.03</f>
        <v>30039.95</v>
      </c>
      <c r="E31" s="14">
        <f>174990/6*1.03*1.03</f>
        <v>30941.148500000003</v>
      </c>
    </row>
    <row r="33" spans="1:5" x14ac:dyDescent="0.25">
      <c r="A33" s="21" t="s">
        <v>23</v>
      </c>
      <c r="B33" s="17"/>
      <c r="C33" s="17"/>
      <c r="D33" s="17"/>
      <c r="E33" s="17"/>
    </row>
    <row r="34" spans="1:5" x14ac:dyDescent="0.25">
      <c r="A34" s="13" t="s">
        <v>77</v>
      </c>
      <c r="B34" s="14">
        <v>4943000</v>
      </c>
      <c r="C34" s="13"/>
      <c r="D34" s="13"/>
      <c r="E34" s="13"/>
    </row>
    <row r="35" spans="1:5" x14ac:dyDescent="0.25">
      <c r="A35" s="13" t="s">
        <v>12</v>
      </c>
      <c r="B35" s="22">
        <v>-5050000</v>
      </c>
      <c r="C35" s="13"/>
      <c r="D35" s="14">
        <v>0</v>
      </c>
      <c r="E35" s="13"/>
    </row>
    <row r="36" spans="1:5" x14ac:dyDescent="0.25">
      <c r="A36" s="13" t="s">
        <v>60</v>
      </c>
      <c r="B36" s="22">
        <v>-174990</v>
      </c>
      <c r="C36" s="13"/>
      <c r="D36" s="14">
        <v>0</v>
      </c>
      <c r="E36" s="13"/>
    </row>
    <row r="37" spans="1:5" x14ac:dyDescent="0.25">
      <c r="A37" s="13" t="s">
        <v>11</v>
      </c>
      <c r="B37" s="22">
        <v>-253733</v>
      </c>
      <c r="C37" s="13"/>
      <c r="D37" s="14">
        <v>0</v>
      </c>
      <c r="E37" s="13"/>
    </row>
    <row r="38" spans="1:5" x14ac:dyDescent="0.25">
      <c r="A38" s="13" t="s">
        <v>13</v>
      </c>
      <c r="B38" s="22">
        <v>-1500000</v>
      </c>
      <c r="C38" s="13"/>
      <c r="D38" s="14">
        <v>0</v>
      </c>
      <c r="E38" s="13"/>
    </row>
    <row r="39" spans="1:5" x14ac:dyDescent="0.25">
      <c r="A39" s="13" t="s">
        <v>14</v>
      </c>
      <c r="B39" s="22">
        <v>-3500000</v>
      </c>
      <c r="C39" s="13"/>
      <c r="D39" s="14">
        <v>0</v>
      </c>
      <c r="E39" s="13"/>
    </row>
    <row r="40" spans="1:5" x14ac:dyDescent="0.25">
      <c r="A40" s="13" t="s">
        <v>15</v>
      </c>
      <c r="B40" s="22">
        <v>-1500000</v>
      </c>
      <c r="C40" s="13"/>
      <c r="D40" s="14">
        <v>0</v>
      </c>
      <c r="E40" s="13"/>
    </row>
    <row r="41" spans="1:5" x14ac:dyDescent="0.25">
      <c r="A41" s="13" t="s">
        <v>59</v>
      </c>
      <c r="B41" s="22">
        <f>SUM(B34,B35,B36,B37,B38,B39,B40)</f>
        <v>-7035723</v>
      </c>
      <c r="C41" s="13"/>
      <c r="D41" s="13"/>
      <c r="E41" s="13"/>
    </row>
    <row r="42" spans="1:5" x14ac:dyDescent="0.25">
      <c r="A42" s="16" t="s">
        <v>16</v>
      </c>
      <c r="B42" s="23">
        <f>SUM(B24,B41)</f>
        <v>-1170</v>
      </c>
      <c r="C42" s="15">
        <f>SUM(C23,C26,C29,C30)</f>
        <v>44493617.219708771</v>
      </c>
      <c r="D42" s="15">
        <f>SUM(D23,D29,D30,D31)</f>
        <v>53104055.276300035</v>
      </c>
      <c r="E42" s="15">
        <f>SUM(D23,D29,D30,D31)*1.03</f>
        <v>54697176.934589036</v>
      </c>
    </row>
    <row r="44" spans="1:5" x14ac:dyDescent="0.25">
      <c r="A44" s="21" t="s">
        <v>24</v>
      </c>
      <c r="B44" s="27"/>
      <c r="C44" s="27"/>
      <c r="D44" s="27"/>
    </row>
    <row r="45" spans="1:5" x14ac:dyDescent="0.25">
      <c r="A45" s="13" t="s">
        <v>25</v>
      </c>
      <c r="B45" s="13"/>
      <c r="C45" s="13"/>
      <c r="D45" s="13"/>
    </row>
    <row r="46" spans="1:5" x14ac:dyDescent="0.25">
      <c r="A46" s="13" t="s">
        <v>26</v>
      </c>
      <c r="B46" s="13"/>
      <c r="C46" s="13"/>
      <c r="D46" s="14">
        <f>650*300*30*12</f>
        <v>70200000</v>
      </c>
    </row>
    <row r="47" spans="1:5" x14ac:dyDescent="0.25">
      <c r="A47" s="13" t="s">
        <v>28</v>
      </c>
      <c r="B47" s="13"/>
      <c r="C47" s="13"/>
      <c r="D47" s="14">
        <f>650*350*30*12</f>
        <v>81900000</v>
      </c>
    </row>
    <row r="48" spans="1:5" x14ac:dyDescent="0.25">
      <c r="A48" s="13" t="s">
        <v>27</v>
      </c>
      <c r="B48" s="13"/>
      <c r="C48" s="13"/>
      <c r="D48" s="14">
        <f>650*200*30*12</f>
        <v>46800000</v>
      </c>
    </row>
  </sheetData>
  <mergeCells count="7">
    <mergeCell ref="G9:K9"/>
    <mergeCell ref="A1:E1"/>
    <mergeCell ref="A3:D3"/>
    <mergeCell ref="G3:I3"/>
    <mergeCell ref="G4:I4"/>
    <mergeCell ref="G6:I6"/>
    <mergeCell ref="G7:I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EFD25-37FB-4B08-97A6-CAC6C4DAD4EE}">
  <dimension ref="A1:C3"/>
  <sheetViews>
    <sheetView workbookViewId="0">
      <selection activeCell="E18" sqref="E18"/>
    </sheetView>
  </sheetViews>
  <sheetFormatPr baseColWidth="10" defaultRowHeight="15" x14ac:dyDescent="0.25"/>
  <cols>
    <col min="1" max="1" width="25.140625" customWidth="1"/>
    <col min="2" max="2" width="19.7109375" customWidth="1"/>
  </cols>
  <sheetData>
    <row r="1" spans="1:3" x14ac:dyDescent="0.25">
      <c r="A1" s="47" t="s">
        <v>69</v>
      </c>
      <c r="B1" s="47"/>
      <c r="C1" s="47"/>
    </row>
    <row r="2" spans="1:3" x14ac:dyDescent="0.25">
      <c r="A2" s="12" t="s">
        <v>67</v>
      </c>
      <c r="B2" s="32">
        <f>PMT(1.25%,12,7034553)</f>
        <v>-634926.88188256091</v>
      </c>
      <c r="C2" s="12"/>
    </row>
    <row r="3" spans="1:3" x14ac:dyDescent="0.25">
      <c r="A3" s="12" t="s">
        <v>68</v>
      </c>
      <c r="B3" s="32">
        <f>PMT(1.25%,12,7034553)*12</f>
        <v>-7619122.5825907309</v>
      </c>
      <c r="C3" s="12"/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06C79-50EB-41D3-8ABF-1B000115E6A4}">
  <dimension ref="A1:C3"/>
  <sheetViews>
    <sheetView workbookViewId="0">
      <selection activeCell="C3" sqref="C3"/>
    </sheetView>
  </sheetViews>
  <sheetFormatPr baseColWidth="10" defaultRowHeight="15" x14ac:dyDescent="0.25"/>
  <sheetData>
    <row r="1" spans="1:3" x14ac:dyDescent="0.25">
      <c r="A1" s="48" t="s">
        <v>58</v>
      </c>
      <c r="B1" s="48"/>
      <c r="C1" s="48"/>
    </row>
    <row r="2" spans="1:3" x14ac:dyDescent="0.25">
      <c r="A2" s="49" t="s">
        <v>55</v>
      </c>
      <c r="B2" s="49"/>
      <c r="C2" s="9">
        <v>60000</v>
      </c>
    </row>
    <row r="3" spans="1:3" x14ac:dyDescent="0.25">
      <c r="A3" s="49" t="s">
        <v>54</v>
      </c>
      <c r="B3" s="49"/>
      <c r="C3" s="9">
        <f>C2*12</f>
        <v>720000</v>
      </c>
    </row>
  </sheetData>
  <mergeCells count="3">
    <mergeCell ref="A1:C1"/>
    <mergeCell ref="A2:B2"/>
    <mergeCell ref="A3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18D4E-E4CE-4656-96A2-EC5339DB3C1A}">
  <dimension ref="A1:D3"/>
  <sheetViews>
    <sheetView workbookViewId="0">
      <selection activeCell="F16" sqref="F16"/>
    </sheetView>
  </sheetViews>
  <sheetFormatPr baseColWidth="10" defaultRowHeight="15" x14ac:dyDescent="0.25"/>
  <cols>
    <col min="1" max="1" width="19.140625" customWidth="1"/>
    <col min="2" max="2" width="16" customWidth="1"/>
  </cols>
  <sheetData>
    <row r="1" spans="1:4" x14ac:dyDescent="0.25">
      <c r="A1" s="50" t="s">
        <v>50</v>
      </c>
      <c r="B1" s="51"/>
      <c r="C1" s="1"/>
      <c r="D1" s="1"/>
    </row>
    <row r="2" spans="1:4" x14ac:dyDescent="0.25">
      <c r="A2" s="5" t="s">
        <v>65</v>
      </c>
      <c r="B2" s="20">
        <v>32000</v>
      </c>
    </row>
    <row r="3" spans="1:4" x14ac:dyDescent="0.25">
      <c r="A3" s="5" t="s">
        <v>66</v>
      </c>
      <c r="B3" s="20">
        <f>B2*12</f>
        <v>384000</v>
      </c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6634F-D4B0-4FB2-BC55-6F408A7DD973}">
  <dimension ref="A1:E12"/>
  <sheetViews>
    <sheetView workbookViewId="0">
      <selection activeCell="H16" sqref="H16"/>
    </sheetView>
  </sheetViews>
  <sheetFormatPr baseColWidth="10" defaultRowHeight="15" x14ac:dyDescent="0.25"/>
  <cols>
    <col min="1" max="1" width="35.5703125" customWidth="1"/>
    <col min="3" max="3" width="26.5703125" customWidth="1"/>
    <col min="4" max="4" width="32" customWidth="1"/>
    <col min="5" max="5" width="21.42578125" customWidth="1"/>
  </cols>
  <sheetData>
    <row r="1" spans="1:5" x14ac:dyDescent="0.25">
      <c r="A1" s="52" t="s">
        <v>34</v>
      </c>
      <c r="B1" s="52"/>
      <c r="C1" s="52"/>
      <c r="D1" s="52"/>
      <c r="E1" s="1"/>
    </row>
    <row r="2" spans="1:5" x14ac:dyDescent="0.25">
      <c r="A2" s="4" t="s">
        <v>35</v>
      </c>
      <c r="B2" s="4" t="s">
        <v>36</v>
      </c>
      <c r="C2" s="4" t="s">
        <v>42</v>
      </c>
      <c r="D2" s="4" t="s">
        <v>64</v>
      </c>
    </row>
    <row r="3" spans="1:5" x14ac:dyDescent="0.25">
      <c r="A3" s="4" t="s">
        <v>37</v>
      </c>
      <c r="B3" s="4">
        <v>2</v>
      </c>
      <c r="C3" s="4">
        <v>120</v>
      </c>
      <c r="D3" s="4">
        <f>B3*C3</f>
        <v>240</v>
      </c>
    </row>
    <row r="4" spans="1:5" x14ac:dyDescent="0.25">
      <c r="A4" s="4" t="s">
        <v>38</v>
      </c>
      <c r="B4" s="4">
        <v>2</v>
      </c>
      <c r="C4" s="4">
        <v>20</v>
      </c>
      <c r="D4" s="4">
        <f>B4*C4</f>
        <v>40</v>
      </c>
    </row>
    <row r="5" spans="1:5" x14ac:dyDescent="0.25">
      <c r="A5" s="4" t="s">
        <v>39</v>
      </c>
      <c r="B5" s="4">
        <v>2</v>
      </c>
      <c r="C5" s="4">
        <v>5</v>
      </c>
      <c r="D5" s="4">
        <f>B5*C5</f>
        <v>10</v>
      </c>
    </row>
    <row r="6" spans="1:5" x14ac:dyDescent="0.25">
      <c r="A6" s="4" t="s">
        <v>40</v>
      </c>
      <c r="B6" s="4">
        <v>1</v>
      </c>
      <c r="C6" s="4">
        <v>15</v>
      </c>
      <c r="D6" s="4">
        <f>B6*C6</f>
        <v>15</v>
      </c>
    </row>
    <row r="7" spans="1:5" x14ac:dyDescent="0.25">
      <c r="A7" s="4" t="s">
        <v>41</v>
      </c>
      <c r="B7" s="4">
        <v>1</v>
      </c>
      <c r="C7" s="4">
        <v>65</v>
      </c>
      <c r="D7" s="4">
        <f>B7*C7</f>
        <v>65</v>
      </c>
    </row>
    <row r="8" spans="1:5" x14ac:dyDescent="0.25">
      <c r="A8" s="4" t="s">
        <v>43</v>
      </c>
      <c r="B8" s="4"/>
      <c r="C8" s="4"/>
      <c r="D8" s="4">
        <f>SUM(D3,D4,D5,D6,D7)</f>
        <v>370</v>
      </c>
    </row>
    <row r="9" spans="1:5" x14ac:dyDescent="0.25">
      <c r="A9" s="4" t="s">
        <v>46</v>
      </c>
      <c r="B9" s="4"/>
      <c r="C9" s="4"/>
      <c r="D9" s="4">
        <f>D8*13.5</f>
        <v>4995</v>
      </c>
    </row>
    <row r="10" spans="1:5" x14ac:dyDescent="0.25">
      <c r="A10" s="4" t="s">
        <v>45</v>
      </c>
      <c r="B10" s="4"/>
      <c r="C10" s="4"/>
      <c r="D10" s="4">
        <f>D9*30</f>
        <v>149850</v>
      </c>
    </row>
    <row r="11" spans="1:5" x14ac:dyDescent="0.25">
      <c r="A11" s="3" t="s">
        <v>48</v>
      </c>
      <c r="B11" s="3"/>
      <c r="C11" s="3"/>
      <c r="D11" s="18">
        <f>(D10/1000)*155+1350</f>
        <v>24576.75</v>
      </c>
    </row>
    <row r="12" spans="1:5" x14ac:dyDescent="0.25">
      <c r="A12" s="5" t="s">
        <v>49</v>
      </c>
      <c r="B12" s="5"/>
      <c r="C12" s="5"/>
      <c r="D12" s="19">
        <f>D11*12</f>
        <v>294921</v>
      </c>
    </row>
  </sheetData>
  <mergeCells count="1"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B1528-5E0D-49A6-ACD2-36AC1C4CCEC9}">
  <dimension ref="A1:D3"/>
  <sheetViews>
    <sheetView workbookViewId="0">
      <selection activeCell="E13" sqref="E13"/>
    </sheetView>
  </sheetViews>
  <sheetFormatPr baseColWidth="10" defaultRowHeight="15" x14ac:dyDescent="0.25"/>
  <cols>
    <col min="1" max="1" width="19.85546875" customWidth="1"/>
  </cols>
  <sheetData>
    <row r="1" spans="1:4" x14ac:dyDescent="0.25">
      <c r="A1" s="53" t="s">
        <v>53</v>
      </c>
      <c r="B1" s="53"/>
      <c r="C1" s="53"/>
      <c r="D1" s="53"/>
    </row>
    <row r="2" spans="1:4" x14ac:dyDescent="0.25">
      <c r="A2" s="7" t="s">
        <v>55</v>
      </c>
      <c r="B2" s="8"/>
      <c r="C2" s="54">
        <v>25000</v>
      </c>
      <c r="D2" s="55"/>
    </row>
    <row r="3" spans="1:4" x14ac:dyDescent="0.25">
      <c r="A3" s="7" t="s">
        <v>56</v>
      </c>
      <c r="B3" s="8"/>
      <c r="C3" s="56">
        <f>C2*12</f>
        <v>300000</v>
      </c>
      <c r="D3" s="57"/>
    </row>
  </sheetData>
  <mergeCells count="3">
    <mergeCell ref="A1:D1"/>
    <mergeCell ref="C2:D2"/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Flujo de caja conservador </vt:lpstr>
      <vt:lpstr>FLUJO CAJA PROBABLE</vt:lpstr>
      <vt:lpstr>FLUJO CAJA Optimista</vt:lpstr>
      <vt:lpstr>Credito de consumo banco chile</vt:lpstr>
      <vt:lpstr>mantenimiento preventivo</vt:lpstr>
      <vt:lpstr>GASTO INTERNET</vt:lpstr>
      <vt:lpstr>GASTO DE LUZ</vt:lpstr>
      <vt:lpstr>Servicio de Hosting Cloud (Hetz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ANTONIO MIRANDA GUERRERO</dc:creator>
  <cp:lastModifiedBy>LEONARDO ANTONIO MIRANDA GUERRERO</cp:lastModifiedBy>
  <dcterms:created xsi:type="dcterms:W3CDTF">2026-06-18T00:13:06Z</dcterms:created>
  <dcterms:modified xsi:type="dcterms:W3CDTF">2026-06-19T02:21:46Z</dcterms:modified>
</cp:coreProperties>
</file>